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anth/Github/Vida/tools/varientExponents/"/>
    </mc:Choice>
  </mc:AlternateContent>
  <xr:revisionPtr revIDLastSave="0" documentId="13_ncr:1_{A351282B-92A7-9149-9A95-E2B62291A716}" xr6:coauthVersionLast="47" xr6:coauthVersionMax="47" xr10:uidLastSave="{00000000-0000-0000-0000-000000000000}"/>
  <bookViews>
    <workbookView xWindow="0" yWindow="760" windowWidth="29400" windowHeight="18360" xr2:uid="{F019C09E-D3AB-0E4E-9D16-B5B5722BB658}"/>
  </bookViews>
  <sheets>
    <sheet name="Species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6" i="1" l="1"/>
  <c r="U46" i="1"/>
  <c r="K47" i="1"/>
  <c r="M47" i="1"/>
  <c r="S47" i="1"/>
  <c r="O47" i="1"/>
  <c r="N47" i="1"/>
  <c r="P47" i="1"/>
  <c r="R47" i="1"/>
  <c r="U47" i="1"/>
  <c r="K48" i="1"/>
  <c r="M48" i="1"/>
  <c r="S48" i="1"/>
  <c r="O48" i="1"/>
  <c r="N48" i="1"/>
  <c r="P48" i="1"/>
  <c r="R48" i="1"/>
  <c r="U48" i="1"/>
  <c r="K49" i="1"/>
  <c r="M49" i="1"/>
  <c r="S49" i="1"/>
  <c r="O49" i="1"/>
  <c r="N49" i="1"/>
  <c r="P49" i="1"/>
  <c r="R49" i="1"/>
  <c r="U49" i="1"/>
  <c r="K50" i="1"/>
  <c r="M50" i="1"/>
  <c r="S50" i="1"/>
  <c r="O50" i="1"/>
  <c r="N50" i="1"/>
  <c r="P50" i="1"/>
  <c r="R50" i="1"/>
  <c r="U50" i="1"/>
  <c r="K51" i="1"/>
  <c r="M51" i="1"/>
  <c r="S51" i="1"/>
  <c r="O51" i="1"/>
  <c r="N51" i="1"/>
  <c r="P51" i="1"/>
  <c r="R51" i="1"/>
  <c r="U51" i="1"/>
  <c r="K52" i="1"/>
  <c r="M52" i="1"/>
  <c r="S52" i="1"/>
  <c r="O52" i="1"/>
  <c r="N52" i="1"/>
  <c r="P52" i="1"/>
  <c r="R52" i="1"/>
  <c r="U52" i="1"/>
  <c r="K53" i="1"/>
  <c r="M53" i="1"/>
  <c r="S53" i="1"/>
  <c r="O53" i="1"/>
  <c r="N53" i="1"/>
  <c r="P53" i="1"/>
  <c r="R53" i="1"/>
  <c r="U53" i="1"/>
  <c r="K54" i="1"/>
  <c r="M54" i="1"/>
  <c r="S54" i="1"/>
  <c r="O54" i="1"/>
  <c r="N54" i="1"/>
  <c r="P54" i="1"/>
  <c r="R54" i="1"/>
  <c r="U54" i="1"/>
  <c r="K55" i="1"/>
  <c r="M55" i="1"/>
  <c r="S55" i="1"/>
  <c r="O55" i="1"/>
  <c r="N55" i="1"/>
  <c r="P55" i="1"/>
  <c r="R55" i="1"/>
  <c r="U55" i="1"/>
  <c r="K56" i="1"/>
  <c r="M56" i="1"/>
  <c r="S56" i="1"/>
  <c r="O56" i="1"/>
  <c r="N56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R56" i="1"/>
  <c r="U56" i="1"/>
  <c r="K57" i="1"/>
  <c r="M57" i="1"/>
  <c r="R57" i="1"/>
  <c r="U57" i="1"/>
  <c r="K58" i="1"/>
  <c r="M58" i="1"/>
  <c r="R58" i="1"/>
  <c r="U58" i="1"/>
  <c r="K59" i="1"/>
  <c r="M59" i="1"/>
  <c r="R59" i="1"/>
  <c r="U59" i="1"/>
  <c r="K60" i="1"/>
  <c r="M60" i="1"/>
  <c r="R60" i="1"/>
  <c r="U60" i="1"/>
  <c r="K61" i="1"/>
  <c r="M61" i="1"/>
  <c r="R61" i="1"/>
  <c r="U61" i="1"/>
  <c r="K62" i="1"/>
  <c r="M62" i="1"/>
  <c r="R62" i="1"/>
  <c r="U62" i="1"/>
  <c r="K63" i="1"/>
  <c r="M63" i="1"/>
  <c r="R63" i="1"/>
  <c r="U63" i="1"/>
  <c r="K64" i="1"/>
  <c r="M64" i="1"/>
  <c r="R64" i="1"/>
  <c r="U64" i="1"/>
  <c r="K65" i="1"/>
  <c r="M65" i="1"/>
  <c r="R65" i="1"/>
  <c r="U65" i="1"/>
  <c r="K66" i="1"/>
  <c r="M66" i="1"/>
  <c r="R66" i="1"/>
  <c r="U66" i="1"/>
  <c r="K67" i="1"/>
  <c r="M67" i="1"/>
  <c r="R67" i="1"/>
  <c r="U67" i="1"/>
  <c r="K68" i="1"/>
  <c r="M68" i="1"/>
  <c r="R68" i="1"/>
  <c r="U68" i="1"/>
  <c r="K69" i="1"/>
  <c r="M69" i="1"/>
  <c r="R69" i="1"/>
  <c r="U69" i="1"/>
  <c r="K70" i="1"/>
  <c r="M70" i="1"/>
  <c r="R70" i="1"/>
  <c r="U70" i="1"/>
  <c r="K71" i="1"/>
  <c r="M71" i="1"/>
  <c r="R71" i="1"/>
  <c r="U71" i="1"/>
  <c r="K72" i="1"/>
  <c r="M72" i="1"/>
  <c r="R72" i="1"/>
  <c r="U72" i="1"/>
  <c r="K73" i="1"/>
  <c r="M73" i="1"/>
  <c r="R73" i="1"/>
  <c r="U73" i="1"/>
  <c r="K74" i="1"/>
  <c r="M74" i="1"/>
  <c r="R74" i="1"/>
  <c r="U74" i="1"/>
  <c r="K75" i="1"/>
  <c r="M75" i="1"/>
  <c r="R75" i="1"/>
  <c r="U75" i="1"/>
  <c r="K76" i="1"/>
  <c r="M76" i="1"/>
  <c r="R76" i="1"/>
  <c r="U76" i="1"/>
  <c r="K77" i="1"/>
  <c r="M77" i="1"/>
  <c r="R77" i="1"/>
  <c r="U77" i="1"/>
  <c r="K78" i="1"/>
  <c r="M78" i="1"/>
  <c r="R78" i="1"/>
  <c r="U78" i="1"/>
  <c r="K79" i="1"/>
  <c r="M79" i="1"/>
  <c r="R79" i="1"/>
  <c r="U79" i="1"/>
  <c r="K80" i="1"/>
  <c r="M80" i="1"/>
  <c r="R80" i="1"/>
  <c r="U80" i="1"/>
  <c r="K81" i="1"/>
  <c r="M81" i="1"/>
  <c r="R81" i="1"/>
  <c r="U81" i="1"/>
  <c r="K82" i="1"/>
  <c r="M82" i="1"/>
  <c r="R82" i="1"/>
  <c r="U82" i="1"/>
  <c r="K83" i="1"/>
  <c r="M83" i="1"/>
  <c r="R83" i="1"/>
  <c r="U83" i="1"/>
  <c r="K84" i="1"/>
  <c r="M84" i="1"/>
  <c r="R84" i="1"/>
  <c r="U84" i="1"/>
  <c r="K85" i="1"/>
  <c r="M85" i="1"/>
  <c r="R85" i="1"/>
  <c r="U85" i="1"/>
  <c r="K86" i="1"/>
  <c r="M86" i="1"/>
  <c r="R86" i="1"/>
  <c r="U86" i="1"/>
  <c r="K87" i="1"/>
  <c r="M87" i="1"/>
  <c r="R87" i="1"/>
  <c r="U87" i="1"/>
  <c r="K88" i="1"/>
  <c r="M88" i="1"/>
  <c r="R88" i="1"/>
  <c r="U88" i="1"/>
  <c r="K89" i="1"/>
  <c r="M89" i="1"/>
  <c r="R89" i="1"/>
  <c r="U89" i="1"/>
  <c r="K90" i="1"/>
  <c r="M90" i="1"/>
  <c r="R90" i="1"/>
  <c r="U90" i="1"/>
  <c r="K91" i="1"/>
  <c r="M91" i="1"/>
  <c r="R91" i="1"/>
  <c r="U91" i="1"/>
  <c r="K92" i="1"/>
  <c r="M92" i="1"/>
  <c r="R92" i="1"/>
  <c r="U92" i="1"/>
  <c r="K93" i="1"/>
  <c r="M93" i="1"/>
  <c r="R93" i="1"/>
  <c r="U93" i="1"/>
  <c r="K94" i="1"/>
  <c r="M94" i="1"/>
  <c r="R94" i="1"/>
  <c r="U94" i="1"/>
  <c r="K95" i="1"/>
  <c r="M95" i="1"/>
  <c r="R95" i="1"/>
  <c r="U95" i="1"/>
  <c r="K96" i="1"/>
  <c r="M96" i="1"/>
  <c r="R96" i="1"/>
  <c r="U96" i="1"/>
  <c r="K97" i="1"/>
  <c r="M97" i="1"/>
  <c r="R97" i="1"/>
  <c r="U97" i="1"/>
  <c r="K98" i="1"/>
  <c r="M98" i="1"/>
  <c r="R98" i="1"/>
  <c r="U98" i="1"/>
  <c r="K99" i="1"/>
  <c r="M99" i="1"/>
  <c r="R99" i="1"/>
  <c r="U99" i="1"/>
  <c r="K100" i="1"/>
  <c r="M100" i="1"/>
  <c r="R100" i="1"/>
  <c r="U100" i="1"/>
  <c r="K101" i="1"/>
  <c r="M101" i="1"/>
  <c r="R101" i="1"/>
  <c r="U101" i="1"/>
  <c r="K102" i="1"/>
  <c r="M102" i="1"/>
  <c r="R102" i="1"/>
  <c r="U102" i="1"/>
  <c r="K103" i="1"/>
  <c r="M103" i="1"/>
  <c r="R103" i="1"/>
  <c r="U103" i="1"/>
  <c r="K104" i="1"/>
  <c r="M104" i="1"/>
  <c r="R104" i="1"/>
  <c r="U104" i="1"/>
  <c r="K105" i="1"/>
  <c r="M105" i="1"/>
  <c r="R105" i="1"/>
  <c r="U105" i="1"/>
  <c r="K106" i="1"/>
  <c r="M106" i="1"/>
  <c r="R106" i="1"/>
  <c r="U106" i="1"/>
  <c r="K107" i="1"/>
  <c r="M107" i="1"/>
  <c r="R107" i="1"/>
  <c r="U107" i="1"/>
  <c r="K108" i="1"/>
  <c r="M108" i="1"/>
  <c r="R108" i="1"/>
  <c r="U108" i="1"/>
  <c r="K109" i="1"/>
  <c r="M109" i="1"/>
  <c r="R109" i="1"/>
  <c r="U109" i="1"/>
  <c r="K110" i="1"/>
  <c r="M110" i="1"/>
  <c r="R110" i="1"/>
  <c r="U110" i="1"/>
  <c r="K111" i="1"/>
  <c r="M111" i="1"/>
  <c r="R111" i="1"/>
  <c r="U111" i="1"/>
  <c r="K112" i="1"/>
  <c r="M112" i="1"/>
  <c r="R112" i="1"/>
  <c r="U112" i="1"/>
  <c r="K113" i="1"/>
  <c r="M113" i="1"/>
  <c r="R113" i="1"/>
  <c r="U113" i="1"/>
  <c r="K114" i="1"/>
  <c r="M114" i="1"/>
  <c r="R114" i="1"/>
  <c r="U114" i="1"/>
  <c r="K115" i="1"/>
  <c r="M115" i="1"/>
  <c r="R115" i="1"/>
  <c r="U115" i="1"/>
  <c r="K116" i="1"/>
  <c r="M116" i="1"/>
  <c r="R116" i="1"/>
  <c r="U116" i="1"/>
  <c r="K117" i="1"/>
  <c r="M117" i="1"/>
  <c r="R117" i="1"/>
  <c r="U117" i="1"/>
  <c r="K118" i="1"/>
  <c r="M118" i="1"/>
  <c r="R118" i="1"/>
  <c r="U118" i="1"/>
  <c r="K119" i="1"/>
  <c r="M119" i="1"/>
  <c r="R119" i="1"/>
  <c r="U119" i="1"/>
  <c r="K120" i="1"/>
  <c r="M120" i="1"/>
  <c r="R120" i="1"/>
  <c r="U120" i="1"/>
  <c r="K121" i="1"/>
  <c r="M121" i="1"/>
  <c r="R121" i="1"/>
  <c r="U121" i="1"/>
  <c r="K122" i="1"/>
  <c r="M122" i="1"/>
  <c r="R122" i="1"/>
  <c r="U122" i="1"/>
  <c r="K123" i="1"/>
  <c r="M123" i="1"/>
  <c r="R123" i="1"/>
  <c r="U123" i="1"/>
  <c r="K124" i="1"/>
  <c r="M124" i="1"/>
  <c r="R124" i="1"/>
  <c r="U124" i="1"/>
  <c r="K125" i="1"/>
  <c r="M125" i="1"/>
  <c r="R125" i="1"/>
  <c r="U125" i="1"/>
  <c r="K126" i="1"/>
  <c r="M126" i="1"/>
  <c r="R126" i="1"/>
  <c r="U126" i="1"/>
  <c r="K127" i="1"/>
  <c r="M127" i="1"/>
  <c r="R127" i="1"/>
  <c r="U127" i="1"/>
  <c r="K128" i="1"/>
  <c r="M128" i="1"/>
  <c r="R128" i="1"/>
  <c r="U128" i="1"/>
  <c r="K129" i="1"/>
  <c r="M129" i="1"/>
  <c r="R129" i="1"/>
  <c r="U129" i="1"/>
  <c r="K130" i="1"/>
  <c r="M130" i="1"/>
  <c r="R130" i="1"/>
  <c r="U130" i="1"/>
  <c r="K131" i="1"/>
  <c r="M131" i="1"/>
  <c r="R131" i="1"/>
  <c r="U131" i="1"/>
  <c r="K132" i="1"/>
  <c r="M132" i="1"/>
  <c r="R132" i="1"/>
  <c r="U132" i="1"/>
  <c r="K133" i="1"/>
  <c r="M133" i="1"/>
  <c r="R133" i="1"/>
  <c r="U133" i="1"/>
  <c r="K134" i="1"/>
  <c r="M134" i="1"/>
  <c r="R134" i="1"/>
  <c r="U134" i="1"/>
  <c r="K135" i="1"/>
  <c r="M135" i="1"/>
  <c r="R135" i="1"/>
  <c r="U135" i="1"/>
  <c r="Z135" i="1"/>
  <c r="AA135" i="1"/>
  <c r="S135" i="1"/>
  <c r="AB135" i="1"/>
  <c r="AC135" i="1"/>
  <c r="P136" i="1"/>
  <c r="K136" i="1"/>
  <c r="M136" i="1"/>
  <c r="R136" i="1"/>
  <c r="U136" i="1"/>
  <c r="Z136" i="1"/>
  <c r="AA136" i="1"/>
  <c r="S136" i="1"/>
  <c r="AB136" i="1"/>
  <c r="AC136" i="1"/>
  <c r="P137" i="1"/>
  <c r="K137" i="1"/>
  <c r="M137" i="1"/>
  <c r="R137" i="1"/>
  <c r="U137" i="1"/>
  <c r="Z137" i="1"/>
  <c r="AA137" i="1"/>
  <c r="S137" i="1"/>
  <c r="AB137" i="1"/>
  <c r="AC137" i="1"/>
  <c r="P138" i="1"/>
  <c r="K138" i="1"/>
  <c r="M138" i="1"/>
  <c r="R138" i="1"/>
  <c r="U138" i="1"/>
  <c r="Z138" i="1"/>
  <c r="AA138" i="1"/>
  <c r="S138" i="1"/>
  <c r="AB138" i="1"/>
  <c r="AC138" i="1"/>
  <c r="P139" i="1"/>
  <c r="K139" i="1"/>
  <c r="M139" i="1"/>
  <c r="R139" i="1"/>
  <c r="U139" i="1"/>
  <c r="Z139" i="1"/>
  <c r="AA139" i="1"/>
  <c r="S139" i="1"/>
  <c r="AB139" i="1"/>
  <c r="AC139" i="1"/>
  <c r="P140" i="1"/>
  <c r="K140" i="1"/>
  <c r="M140" i="1"/>
  <c r="R140" i="1"/>
  <c r="U140" i="1"/>
  <c r="Z140" i="1"/>
  <c r="AA140" i="1"/>
  <c r="S140" i="1"/>
  <c r="AB140" i="1"/>
  <c r="AC140" i="1"/>
  <c r="P141" i="1"/>
  <c r="K141" i="1"/>
  <c r="M141" i="1"/>
  <c r="R141" i="1"/>
  <c r="U141" i="1"/>
  <c r="Z141" i="1"/>
  <c r="AA141" i="1"/>
  <c r="S141" i="1"/>
  <c r="AB141" i="1"/>
  <c r="AC141" i="1"/>
  <c r="P142" i="1"/>
  <c r="K142" i="1"/>
  <c r="M142" i="1"/>
  <c r="R142" i="1"/>
  <c r="U142" i="1"/>
  <c r="Z142" i="1"/>
  <c r="AA142" i="1"/>
  <c r="S142" i="1"/>
  <c r="AB142" i="1"/>
  <c r="AC142" i="1"/>
  <c r="P143" i="1"/>
  <c r="K143" i="1"/>
  <c r="M143" i="1"/>
  <c r="R143" i="1"/>
  <c r="U143" i="1"/>
  <c r="Z143" i="1"/>
  <c r="AA143" i="1"/>
  <c r="S143" i="1"/>
  <c r="AB143" i="1"/>
  <c r="AC143" i="1"/>
  <c r="P144" i="1"/>
  <c r="K144" i="1"/>
  <c r="M144" i="1"/>
  <c r="R144" i="1"/>
  <c r="U144" i="1"/>
  <c r="Z144" i="1"/>
  <c r="AA144" i="1"/>
  <c r="S144" i="1"/>
  <c r="AB144" i="1"/>
  <c r="AC144" i="1"/>
  <c r="P145" i="1"/>
  <c r="K145" i="1"/>
  <c r="M145" i="1"/>
  <c r="R145" i="1"/>
  <c r="U145" i="1"/>
  <c r="Z145" i="1"/>
  <c r="AA145" i="1"/>
  <c r="S145" i="1"/>
  <c r="AB145" i="1"/>
  <c r="AC145" i="1"/>
  <c r="P146" i="1"/>
  <c r="K146" i="1"/>
  <c r="M146" i="1"/>
  <c r="R146" i="1"/>
  <c r="U146" i="1"/>
  <c r="Z146" i="1"/>
  <c r="AA146" i="1"/>
  <c r="S146" i="1"/>
  <c r="AB146" i="1"/>
  <c r="AC146" i="1"/>
  <c r="AB45" i="1"/>
  <c r="Z46" i="1"/>
  <c r="AA46" i="1"/>
  <c r="AB46" i="1"/>
  <c r="AC46" i="1"/>
  <c r="Z47" i="1"/>
  <c r="AA47" i="1"/>
  <c r="AB47" i="1"/>
  <c r="AC47" i="1"/>
  <c r="Z48" i="1"/>
  <c r="AA48" i="1"/>
  <c r="AB48" i="1"/>
  <c r="AC48" i="1"/>
  <c r="Z49" i="1"/>
  <c r="AA49" i="1"/>
  <c r="AB49" i="1"/>
  <c r="AC49" i="1"/>
  <c r="Z50" i="1"/>
  <c r="AA50" i="1"/>
  <c r="AB50" i="1"/>
  <c r="AC50" i="1"/>
  <c r="Z51" i="1"/>
  <c r="AA51" i="1"/>
  <c r="AB51" i="1"/>
  <c r="AC51" i="1"/>
  <c r="Z52" i="1"/>
  <c r="AA52" i="1"/>
  <c r="AB52" i="1"/>
  <c r="AC52" i="1"/>
  <c r="Z53" i="1"/>
  <c r="AA53" i="1"/>
  <c r="AB53" i="1"/>
  <c r="AC53" i="1"/>
  <c r="Z54" i="1"/>
  <c r="AA54" i="1"/>
  <c r="AB54" i="1"/>
  <c r="AC54" i="1"/>
  <c r="Z55" i="1"/>
  <c r="AA55" i="1"/>
  <c r="AB55" i="1"/>
  <c r="AC55" i="1"/>
  <c r="Z56" i="1"/>
  <c r="AA56" i="1"/>
  <c r="AB56" i="1"/>
  <c r="AC56" i="1"/>
  <c r="Z57" i="1"/>
  <c r="AA57" i="1"/>
  <c r="S57" i="1"/>
  <c r="AB57" i="1"/>
  <c r="AC57" i="1"/>
  <c r="Z58" i="1"/>
  <c r="AA58" i="1"/>
  <c r="S58" i="1"/>
  <c r="AB58" i="1"/>
  <c r="AC58" i="1"/>
  <c r="Z59" i="1"/>
  <c r="AA59" i="1"/>
  <c r="S59" i="1"/>
  <c r="AB59" i="1"/>
  <c r="AC59" i="1"/>
  <c r="Z60" i="1"/>
  <c r="AA60" i="1"/>
  <c r="S60" i="1"/>
  <c r="AB60" i="1"/>
  <c r="AC60" i="1"/>
  <c r="Z61" i="1"/>
  <c r="AA61" i="1"/>
  <c r="S61" i="1"/>
  <c r="AB61" i="1"/>
  <c r="AC61" i="1"/>
  <c r="Z62" i="1"/>
  <c r="AA62" i="1"/>
  <c r="S62" i="1"/>
  <c r="AB62" i="1"/>
  <c r="AC62" i="1"/>
  <c r="Z63" i="1"/>
  <c r="AA63" i="1"/>
  <c r="S63" i="1"/>
  <c r="AB63" i="1"/>
  <c r="AC63" i="1"/>
  <c r="Z64" i="1"/>
  <c r="AA64" i="1"/>
  <c r="S64" i="1"/>
  <c r="AB64" i="1"/>
  <c r="AC64" i="1"/>
  <c r="Z65" i="1"/>
  <c r="AA65" i="1"/>
  <c r="S65" i="1"/>
  <c r="AB65" i="1"/>
  <c r="AC65" i="1"/>
  <c r="Z66" i="1"/>
  <c r="AA66" i="1"/>
  <c r="S66" i="1"/>
  <c r="AB66" i="1"/>
  <c r="AC66" i="1"/>
  <c r="Z67" i="1"/>
  <c r="AA67" i="1"/>
  <c r="S67" i="1"/>
  <c r="AB67" i="1"/>
  <c r="AC67" i="1"/>
  <c r="Z68" i="1"/>
  <c r="AA68" i="1"/>
  <c r="S68" i="1"/>
  <c r="AB68" i="1"/>
  <c r="AC68" i="1"/>
  <c r="Z69" i="1"/>
  <c r="AA69" i="1"/>
  <c r="S69" i="1"/>
  <c r="AB69" i="1"/>
  <c r="AC69" i="1"/>
  <c r="Z70" i="1"/>
  <c r="AA70" i="1"/>
  <c r="S70" i="1"/>
  <c r="AB70" i="1"/>
  <c r="AC70" i="1"/>
  <c r="Z71" i="1"/>
  <c r="AA71" i="1"/>
  <c r="S71" i="1"/>
  <c r="AB71" i="1"/>
  <c r="AC71" i="1"/>
  <c r="Z72" i="1"/>
  <c r="AA72" i="1"/>
  <c r="S72" i="1"/>
  <c r="AB72" i="1"/>
  <c r="AC72" i="1"/>
  <c r="Z73" i="1"/>
  <c r="AA73" i="1"/>
  <c r="S73" i="1"/>
  <c r="AB73" i="1"/>
  <c r="AC73" i="1"/>
  <c r="Z74" i="1"/>
  <c r="AA74" i="1"/>
  <c r="S74" i="1"/>
  <c r="AB74" i="1"/>
  <c r="AC74" i="1"/>
  <c r="Z75" i="1"/>
  <c r="AA75" i="1"/>
  <c r="S75" i="1"/>
  <c r="AB75" i="1"/>
  <c r="AC75" i="1"/>
  <c r="Z76" i="1"/>
  <c r="AA76" i="1"/>
  <c r="S76" i="1"/>
  <c r="AB76" i="1"/>
  <c r="AC76" i="1"/>
  <c r="Z77" i="1"/>
  <c r="AA77" i="1"/>
  <c r="S77" i="1"/>
  <c r="AB77" i="1"/>
  <c r="AC77" i="1"/>
  <c r="Z78" i="1"/>
  <c r="AA78" i="1"/>
  <c r="S78" i="1"/>
  <c r="AB78" i="1"/>
  <c r="AC78" i="1"/>
  <c r="Z79" i="1"/>
  <c r="AA79" i="1"/>
  <c r="S79" i="1"/>
  <c r="AB79" i="1"/>
  <c r="AC79" i="1"/>
  <c r="Z80" i="1"/>
  <c r="AA80" i="1"/>
  <c r="S80" i="1"/>
  <c r="AB80" i="1"/>
  <c r="AC80" i="1"/>
  <c r="Z81" i="1"/>
  <c r="AA81" i="1"/>
  <c r="S81" i="1"/>
  <c r="AB81" i="1"/>
  <c r="AC81" i="1"/>
  <c r="Z82" i="1"/>
  <c r="AA82" i="1"/>
  <c r="S82" i="1"/>
  <c r="AB82" i="1"/>
  <c r="AC82" i="1"/>
  <c r="Z83" i="1"/>
  <c r="AA83" i="1"/>
  <c r="S83" i="1"/>
  <c r="AB83" i="1"/>
  <c r="AC83" i="1"/>
  <c r="Z84" i="1"/>
  <c r="AA84" i="1"/>
  <c r="S84" i="1"/>
  <c r="AB84" i="1"/>
  <c r="AC84" i="1"/>
  <c r="Z85" i="1"/>
  <c r="AA85" i="1"/>
  <c r="S85" i="1"/>
  <c r="AB85" i="1"/>
  <c r="AC85" i="1"/>
  <c r="Z86" i="1"/>
  <c r="AA86" i="1"/>
  <c r="S86" i="1"/>
  <c r="AB86" i="1"/>
  <c r="AC86" i="1"/>
  <c r="Z87" i="1"/>
  <c r="AA87" i="1"/>
  <c r="S87" i="1"/>
  <c r="AB87" i="1"/>
  <c r="AC87" i="1"/>
  <c r="Z88" i="1"/>
  <c r="AA88" i="1"/>
  <c r="S88" i="1"/>
  <c r="AB88" i="1"/>
  <c r="AC88" i="1"/>
  <c r="Z89" i="1"/>
  <c r="AA89" i="1"/>
  <c r="S89" i="1"/>
  <c r="AB89" i="1"/>
  <c r="AC89" i="1"/>
  <c r="Z90" i="1"/>
  <c r="AA90" i="1"/>
  <c r="S90" i="1"/>
  <c r="AB90" i="1"/>
  <c r="AC90" i="1"/>
  <c r="Z91" i="1"/>
  <c r="AA91" i="1"/>
  <c r="S91" i="1"/>
  <c r="AB91" i="1"/>
  <c r="AC91" i="1"/>
  <c r="Z92" i="1"/>
  <c r="AA92" i="1"/>
  <c r="S92" i="1"/>
  <c r="AB92" i="1"/>
  <c r="AC92" i="1"/>
  <c r="Z93" i="1"/>
  <c r="AA93" i="1"/>
  <c r="S93" i="1"/>
  <c r="AB93" i="1"/>
  <c r="AC93" i="1"/>
  <c r="Z94" i="1"/>
  <c r="AA94" i="1"/>
  <c r="S94" i="1"/>
  <c r="AB94" i="1"/>
  <c r="AC94" i="1"/>
  <c r="Z95" i="1"/>
  <c r="AA95" i="1"/>
  <c r="S95" i="1"/>
  <c r="AB95" i="1"/>
  <c r="AC95" i="1"/>
  <c r="Z96" i="1"/>
  <c r="AA96" i="1"/>
  <c r="S96" i="1"/>
  <c r="AB96" i="1"/>
  <c r="AC96" i="1"/>
  <c r="Z97" i="1"/>
  <c r="AA97" i="1"/>
  <c r="S97" i="1"/>
  <c r="AB97" i="1"/>
  <c r="AC97" i="1"/>
  <c r="Z98" i="1"/>
  <c r="AA98" i="1"/>
  <c r="S98" i="1"/>
  <c r="AB98" i="1"/>
  <c r="AC98" i="1"/>
  <c r="Z99" i="1"/>
  <c r="AA99" i="1"/>
  <c r="S99" i="1"/>
  <c r="AB99" i="1"/>
  <c r="AC99" i="1"/>
  <c r="Z100" i="1"/>
  <c r="AA100" i="1"/>
  <c r="S100" i="1"/>
  <c r="AB100" i="1"/>
  <c r="AC100" i="1"/>
  <c r="Z101" i="1"/>
  <c r="AA101" i="1"/>
  <c r="S101" i="1"/>
  <c r="AB101" i="1"/>
  <c r="AC101" i="1"/>
  <c r="Z102" i="1"/>
  <c r="AA102" i="1"/>
  <c r="S102" i="1"/>
  <c r="AB102" i="1"/>
  <c r="AC102" i="1"/>
  <c r="Z103" i="1"/>
  <c r="AA103" i="1"/>
  <c r="S103" i="1"/>
  <c r="AB103" i="1"/>
  <c r="AC103" i="1"/>
  <c r="Z104" i="1"/>
  <c r="AA104" i="1"/>
  <c r="S104" i="1"/>
  <c r="AB104" i="1"/>
  <c r="AC104" i="1"/>
  <c r="Z105" i="1"/>
  <c r="AA105" i="1"/>
  <c r="S105" i="1"/>
  <c r="AB105" i="1"/>
  <c r="AC105" i="1"/>
  <c r="Z106" i="1"/>
  <c r="AA106" i="1"/>
  <c r="S106" i="1"/>
  <c r="AB106" i="1"/>
  <c r="AC106" i="1"/>
  <c r="Z107" i="1"/>
  <c r="AA107" i="1"/>
  <c r="S107" i="1"/>
  <c r="AB107" i="1"/>
  <c r="AC107" i="1"/>
  <c r="Z108" i="1"/>
  <c r="AA108" i="1"/>
  <c r="S108" i="1"/>
  <c r="AB108" i="1"/>
  <c r="AC108" i="1"/>
  <c r="Z109" i="1"/>
  <c r="AA109" i="1"/>
  <c r="S109" i="1"/>
  <c r="AB109" i="1"/>
  <c r="AC109" i="1"/>
  <c r="Z110" i="1"/>
  <c r="AA110" i="1"/>
  <c r="S110" i="1"/>
  <c r="AB110" i="1"/>
  <c r="AC110" i="1"/>
  <c r="Z111" i="1"/>
  <c r="AA111" i="1"/>
  <c r="S111" i="1"/>
  <c r="AB111" i="1"/>
  <c r="AC111" i="1"/>
  <c r="Z112" i="1"/>
  <c r="AA112" i="1"/>
  <c r="S112" i="1"/>
  <c r="AB112" i="1"/>
  <c r="AC112" i="1"/>
  <c r="Z113" i="1"/>
  <c r="AA113" i="1"/>
  <c r="S113" i="1"/>
  <c r="AB113" i="1"/>
  <c r="AC113" i="1"/>
  <c r="Z114" i="1"/>
  <c r="AA114" i="1"/>
  <c r="S114" i="1"/>
  <c r="AB114" i="1"/>
  <c r="AC114" i="1"/>
  <c r="Z115" i="1"/>
  <c r="AA115" i="1"/>
  <c r="S115" i="1"/>
  <c r="AB115" i="1"/>
  <c r="AC115" i="1"/>
  <c r="Z116" i="1"/>
  <c r="AA116" i="1"/>
  <c r="S116" i="1"/>
  <c r="AB116" i="1"/>
  <c r="AC116" i="1"/>
  <c r="Z117" i="1"/>
  <c r="AA117" i="1"/>
  <c r="S117" i="1"/>
  <c r="AB117" i="1"/>
  <c r="AC117" i="1"/>
  <c r="Z118" i="1"/>
  <c r="AA118" i="1"/>
  <c r="S118" i="1"/>
  <c r="AB118" i="1"/>
  <c r="AC118" i="1"/>
  <c r="Z119" i="1"/>
  <c r="AA119" i="1"/>
  <c r="S119" i="1"/>
  <c r="AB119" i="1"/>
  <c r="AC119" i="1"/>
  <c r="Z120" i="1"/>
  <c r="AA120" i="1"/>
  <c r="S120" i="1"/>
  <c r="AB120" i="1"/>
  <c r="AC120" i="1"/>
  <c r="Z121" i="1"/>
  <c r="AA121" i="1"/>
  <c r="S121" i="1"/>
  <c r="AB121" i="1"/>
  <c r="AC121" i="1"/>
  <c r="Z122" i="1"/>
  <c r="AA122" i="1"/>
  <c r="S122" i="1"/>
  <c r="AB122" i="1"/>
  <c r="AC122" i="1"/>
  <c r="Z123" i="1"/>
  <c r="AA123" i="1"/>
  <c r="S123" i="1"/>
  <c r="AB123" i="1"/>
  <c r="AC123" i="1"/>
  <c r="Z124" i="1"/>
  <c r="AA124" i="1"/>
  <c r="S124" i="1"/>
  <c r="AB124" i="1"/>
  <c r="AC124" i="1"/>
  <c r="Z125" i="1"/>
  <c r="AA125" i="1"/>
  <c r="S125" i="1"/>
  <c r="AB125" i="1"/>
  <c r="AC125" i="1"/>
  <c r="Z126" i="1"/>
  <c r="AA126" i="1"/>
  <c r="S126" i="1"/>
  <c r="AB126" i="1"/>
  <c r="AC126" i="1"/>
  <c r="Z127" i="1"/>
  <c r="AA127" i="1"/>
  <c r="S127" i="1"/>
  <c r="AB127" i="1"/>
  <c r="AC127" i="1"/>
  <c r="Z128" i="1"/>
  <c r="AA128" i="1"/>
  <c r="S128" i="1"/>
  <c r="AB128" i="1"/>
  <c r="AC128" i="1"/>
  <c r="Z129" i="1"/>
  <c r="AA129" i="1"/>
  <c r="S129" i="1"/>
  <c r="AB129" i="1"/>
  <c r="AC129" i="1"/>
  <c r="Z130" i="1"/>
  <c r="AA130" i="1"/>
  <c r="S130" i="1"/>
  <c r="AB130" i="1"/>
  <c r="AC130" i="1"/>
  <c r="Z131" i="1"/>
  <c r="AA131" i="1"/>
  <c r="S131" i="1"/>
  <c r="AB131" i="1"/>
  <c r="AC131" i="1"/>
  <c r="Z132" i="1"/>
  <c r="AA132" i="1"/>
  <c r="S132" i="1"/>
  <c r="AB132" i="1"/>
  <c r="AC132" i="1"/>
  <c r="Z133" i="1"/>
  <c r="AA133" i="1"/>
  <c r="S133" i="1"/>
  <c r="AB133" i="1"/>
  <c r="AC133" i="1"/>
  <c r="Z134" i="1"/>
  <c r="AA134" i="1"/>
  <c r="S134" i="1"/>
  <c r="AB134" i="1"/>
  <c r="AC134" i="1"/>
  <c r="AC45" i="1"/>
  <c r="AA45" i="1"/>
  <c r="Z45" i="1"/>
  <c r="T45" i="1"/>
  <c r="T46" i="1"/>
  <c r="T47" i="1"/>
  <c r="T48" i="1"/>
  <c r="T49" i="1"/>
  <c r="L45" i="1"/>
  <c r="M45" i="1"/>
  <c r="S45" i="1"/>
  <c r="O45" i="1"/>
  <c r="N45" i="1"/>
  <c r="P45" i="1"/>
  <c r="R45" i="1"/>
  <c r="U45" i="1"/>
  <c r="K46" i="1"/>
  <c r="M46" i="1"/>
  <c r="S46" i="1"/>
  <c r="O46" i="1"/>
  <c r="N46" i="1"/>
  <c r="P46" i="1"/>
  <c r="L145" i="1"/>
  <c r="X145" i="1"/>
  <c r="Y145" i="1"/>
  <c r="L146" i="1"/>
  <c r="X146" i="1"/>
  <c r="Y146" i="1"/>
  <c r="O145" i="1"/>
  <c r="Q145" i="1"/>
  <c r="T145" i="1"/>
  <c r="V145" i="1"/>
  <c r="W145" i="1"/>
  <c r="O146" i="1"/>
  <c r="Q146" i="1"/>
  <c r="T146" i="1"/>
  <c r="V146" i="1"/>
  <c r="W146" i="1"/>
  <c r="N145" i="1"/>
  <c r="N146" i="1"/>
  <c r="L46" i="1"/>
  <c r="X46" i="1"/>
  <c r="Y46" i="1"/>
  <c r="L47" i="1"/>
  <c r="X47" i="1"/>
  <c r="Y47" i="1"/>
  <c r="L48" i="1"/>
  <c r="X48" i="1"/>
  <c r="Y48" i="1"/>
  <c r="L49" i="1"/>
  <c r="X49" i="1"/>
  <c r="Y49" i="1"/>
  <c r="L50" i="1"/>
  <c r="X50" i="1"/>
  <c r="Y50" i="1"/>
  <c r="L51" i="1"/>
  <c r="X51" i="1"/>
  <c r="Y51" i="1"/>
  <c r="L52" i="1"/>
  <c r="X52" i="1"/>
  <c r="Y52" i="1"/>
  <c r="L53" i="1"/>
  <c r="X53" i="1"/>
  <c r="Y53" i="1"/>
  <c r="L54" i="1"/>
  <c r="X54" i="1"/>
  <c r="Y54" i="1"/>
  <c r="L55" i="1"/>
  <c r="X55" i="1"/>
  <c r="Y55" i="1"/>
  <c r="L56" i="1"/>
  <c r="X56" i="1"/>
  <c r="Y56" i="1"/>
  <c r="L57" i="1"/>
  <c r="X57" i="1"/>
  <c r="Y57" i="1"/>
  <c r="L58" i="1"/>
  <c r="X58" i="1"/>
  <c r="Y58" i="1"/>
  <c r="L59" i="1"/>
  <c r="X59" i="1"/>
  <c r="Y59" i="1"/>
  <c r="L60" i="1"/>
  <c r="X60" i="1"/>
  <c r="Y60" i="1"/>
  <c r="L61" i="1"/>
  <c r="X61" i="1"/>
  <c r="Y61" i="1"/>
  <c r="L62" i="1"/>
  <c r="X62" i="1"/>
  <c r="Y62" i="1"/>
  <c r="L63" i="1"/>
  <c r="X63" i="1"/>
  <c r="Y63" i="1"/>
  <c r="L64" i="1"/>
  <c r="X64" i="1"/>
  <c r="Y64" i="1"/>
  <c r="L65" i="1"/>
  <c r="X65" i="1"/>
  <c r="Y65" i="1"/>
  <c r="L66" i="1"/>
  <c r="X66" i="1"/>
  <c r="Y66" i="1"/>
  <c r="L67" i="1"/>
  <c r="X67" i="1"/>
  <c r="Y67" i="1"/>
  <c r="L68" i="1"/>
  <c r="X68" i="1"/>
  <c r="Y68" i="1"/>
  <c r="L69" i="1"/>
  <c r="X69" i="1"/>
  <c r="Y69" i="1"/>
  <c r="L70" i="1"/>
  <c r="X70" i="1"/>
  <c r="Y70" i="1"/>
  <c r="L71" i="1"/>
  <c r="X71" i="1"/>
  <c r="Y71" i="1"/>
  <c r="L72" i="1"/>
  <c r="X72" i="1"/>
  <c r="Y72" i="1"/>
  <c r="L73" i="1"/>
  <c r="X73" i="1"/>
  <c r="Y73" i="1"/>
  <c r="L74" i="1"/>
  <c r="X74" i="1"/>
  <c r="Y74" i="1"/>
  <c r="L75" i="1"/>
  <c r="X75" i="1"/>
  <c r="Y75" i="1"/>
  <c r="L76" i="1"/>
  <c r="X76" i="1"/>
  <c r="Y76" i="1"/>
  <c r="L77" i="1"/>
  <c r="X77" i="1"/>
  <c r="Y77" i="1"/>
  <c r="L78" i="1"/>
  <c r="X78" i="1"/>
  <c r="Y78" i="1"/>
  <c r="L79" i="1"/>
  <c r="X79" i="1"/>
  <c r="Y79" i="1"/>
  <c r="L80" i="1"/>
  <c r="X80" i="1"/>
  <c r="Y80" i="1"/>
  <c r="L81" i="1"/>
  <c r="X81" i="1"/>
  <c r="Y81" i="1"/>
  <c r="L82" i="1"/>
  <c r="X82" i="1"/>
  <c r="Y82" i="1"/>
  <c r="L83" i="1"/>
  <c r="X83" i="1"/>
  <c r="Y83" i="1"/>
  <c r="L84" i="1"/>
  <c r="X84" i="1"/>
  <c r="Y84" i="1"/>
  <c r="L85" i="1"/>
  <c r="X85" i="1"/>
  <c r="Y85" i="1"/>
  <c r="L86" i="1"/>
  <c r="X86" i="1"/>
  <c r="Y86" i="1"/>
  <c r="L87" i="1"/>
  <c r="X87" i="1"/>
  <c r="Y87" i="1"/>
  <c r="L88" i="1"/>
  <c r="X88" i="1"/>
  <c r="Y88" i="1"/>
  <c r="L89" i="1"/>
  <c r="X89" i="1"/>
  <c r="Y89" i="1"/>
  <c r="L90" i="1"/>
  <c r="X90" i="1"/>
  <c r="Y90" i="1"/>
  <c r="L91" i="1"/>
  <c r="X91" i="1"/>
  <c r="Y91" i="1"/>
  <c r="L92" i="1"/>
  <c r="X92" i="1"/>
  <c r="Y92" i="1"/>
  <c r="L93" i="1"/>
  <c r="X93" i="1"/>
  <c r="Y93" i="1"/>
  <c r="L94" i="1"/>
  <c r="X94" i="1"/>
  <c r="Y94" i="1"/>
  <c r="L95" i="1"/>
  <c r="X95" i="1"/>
  <c r="Y95" i="1"/>
  <c r="L96" i="1"/>
  <c r="X96" i="1"/>
  <c r="Y96" i="1"/>
  <c r="L97" i="1"/>
  <c r="X97" i="1"/>
  <c r="Y97" i="1"/>
  <c r="L98" i="1"/>
  <c r="X98" i="1"/>
  <c r="Y98" i="1"/>
  <c r="L99" i="1"/>
  <c r="X99" i="1"/>
  <c r="Y99" i="1"/>
  <c r="L100" i="1"/>
  <c r="X100" i="1"/>
  <c r="Y100" i="1"/>
  <c r="L101" i="1"/>
  <c r="X101" i="1"/>
  <c r="Y101" i="1"/>
  <c r="L102" i="1"/>
  <c r="X102" i="1"/>
  <c r="Y102" i="1"/>
  <c r="L103" i="1"/>
  <c r="X103" i="1"/>
  <c r="Y103" i="1"/>
  <c r="L104" i="1"/>
  <c r="X104" i="1"/>
  <c r="Y104" i="1"/>
  <c r="L105" i="1"/>
  <c r="X105" i="1"/>
  <c r="Y105" i="1"/>
  <c r="L106" i="1"/>
  <c r="X106" i="1"/>
  <c r="Y106" i="1"/>
  <c r="L107" i="1"/>
  <c r="X107" i="1"/>
  <c r="Y107" i="1"/>
  <c r="L108" i="1"/>
  <c r="X108" i="1"/>
  <c r="Y108" i="1"/>
  <c r="L109" i="1"/>
  <c r="X109" i="1"/>
  <c r="Y109" i="1"/>
  <c r="L110" i="1"/>
  <c r="X110" i="1"/>
  <c r="Y110" i="1"/>
  <c r="L111" i="1"/>
  <c r="X111" i="1"/>
  <c r="Y111" i="1"/>
  <c r="L112" i="1"/>
  <c r="X112" i="1"/>
  <c r="Y112" i="1"/>
  <c r="L113" i="1"/>
  <c r="X113" i="1"/>
  <c r="Y113" i="1"/>
  <c r="L114" i="1"/>
  <c r="X114" i="1"/>
  <c r="Y114" i="1"/>
  <c r="L115" i="1"/>
  <c r="X115" i="1"/>
  <c r="Y115" i="1"/>
  <c r="L116" i="1"/>
  <c r="X116" i="1"/>
  <c r="Y116" i="1"/>
  <c r="L117" i="1"/>
  <c r="X117" i="1"/>
  <c r="Y117" i="1"/>
  <c r="L118" i="1"/>
  <c r="X118" i="1"/>
  <c r="Y118" i="1"/>
  <c r="L119" i="1"/>
  <c r="X119" i="1"/>
  <c r="Y119" i="1"/>
  <c r="L120" i="1"/>
  <c r="X120" i="1"/>
  <c r="Y120" i="1"/>
  <c r="L121" i="1"/>
  <c r="X121" i="1"/>
  <c r="Y121" i="1"/>
  <c r="L122" i="1"/>
  <c r="X122" i="1"/>
  <c r="Y122" i="1"/>
  <c r="L123" i="1"/>
  <c r="X123" i="1"/>
  <c r="Y123" i="1"/>
  <c r="L124" i="1"/>
  <c r="X124" i="1"/>
  <c r="Y124" i="1"/>
  <c r="L125" i="1"/>
  <c r="X125" i="1"/>
  <c r="Y125" i="1"/>
  <c r="L126" i="1"/>
  <c r="X126" i="1"/>
  <c r="Y126" i="1"/>
  <c r="L127" i="1"/>
  <c r="X127" i="1"/>
  <c r="Y127" i="1"/>
  <c r="L128" i="1"/>
  <c r="X128" i="1"/>
  <c r="Y128" i="1"/>
  <c r="L129" i="1"/>
  <c r="X129" i="1"/>
  <c r="Y129" i="1"/>
  <c r="L130" i="1"/>
  <c r="X130" i="1"/>
  <c r="Y130" i="1"/>
  <c r="L131" i="1"/>
  <c r="X131" i="1"/>
  <c r="Y131" i="1"/>
  <c r="L132" i="1"/>
  <c r="X132" i="1"/>
  <c r="Y132" i="1"/>
  <c r="L133" i="1"/>
  <c r="X133" i="1"/>
  <c r="Y133" i="1"/>
  <c r="L134" i="1"/>
  <c r="X134" i="1"/>
  <c r="Y134" i="1"/>
  <c r="L135" i="1"/>
  <c r="X135" i="1"/>
  <c r="Y135" i="1"/>
  <c r="L136" i="1"/>
  <c r="X136" i="1"/>
  <c r="Y136" i="1"/>
  <c r="L137" i="1"/>
  <c r="X137" i="1"/>
  <c r="Y137" i="1"/>
  <c r="L138" i="1"/>
  <c r="X138" i="1"/>
  <c r="Y138" i="1"/>
  <c r="L139" i="1"/>
  <c r="X139" i="1"/>
  <c r="Y139" i="1"/>
  <c r="L140" i="1"/>
  <c r="X140" i="1"/>
  <c r="Y140" i="1"/>
  <c r="L141" i="1"/>
  <c r="X141" i="1"/>
  <c r="Y141" i="1"/>
  <c r="L142" i="1"/>
  <c r="X142" i="1"/>
  <c r="Y142" i="1"/>
  <c r="L143" i="1"/>
  <c r="X143" i="1"/>
  <c r="Y143" i="1"/>
  <c r="L144" i="1"/>
  <c r="X144" i="1"/>
  <c r="Y144" i="1"/>
  <c r="X45" i="1"/>
  <c r="Y45" i="1"/>
  <c r="O57" i="1"/>
  <c r="N57" i="1"/>
  <c r="O58" i="1"/>
  <c r="N58" i="1"/>
  <c r="O59" i="1"/>
  <c r="N59" i="1"/>
  <c r="O60" i="1"/>
  <c r="N60" i="1"/>
  <c r="O61" i="1"/>
  <c r="N61" i="1"/>
  <c r="O62" i="1"/>
  <c r="N62" i="1"/>
  <c r="O63" i="1"/>
  <c r="N63" i="1"/>
  <c r="O64" i="1"/>
  <c r="N64" i="1"/>
  <c r="O65" i="1"/>
  <c r="N65" i="1"/>
  <c r="O66" i="1"/>
  <c r="N66" i="1"/>
  <c r="O67" i="1"/>
  <c r="N67" i="1"/>
  <c r="O68" i="1"/>
  <c r="N68" i="1"/>
  <c r="O69" i="1"/>
  <c r="N69" i="1"/>
  <c r="O70" i="1"/>
  <c r="N70" i="1"/>
  <c r="O71" i="1"/>
  <c r="N71" i="1"/>
  <c r="O72" i="1"/>
  <c r="N72" i="1"/>
  <c r="O73" i="1"/>
  <c r="N73" i="1"/>
  <c r="O74" i="1"/>
  <c r="N74" i="1"/>
  <c r="O75" i="1"/>
  <c r="N75" i="1"/>
  <c r="O76" i="1"/>
  <c r="N76" i="1"/>
  <c r="O77" i="1"/>
  <c r="N77" i="1"/>
  <c r="O78" i="1"/>
  <c r="N78" i="1"/>
  <c r="O79" i="1"/>
  <c r="N79" i="1"/>
  <c r="O80" i="1"/>
  <c r="N80" i="1"/>
  <c r="O81" i="1"/>
  <c r="N81" i="1"/>
  <c r="O82" i="1"/>
  <c r="N82" i="1"/>
  <c r="O83" i="1"/>
  <c r="N83" i="1"/>
  <c r="O84" i="1"/>
  <c r="N84" i="1"/>
  <c r="O85" i="1"/>
  <c r="N85" i="1"/>
  <c r="O86" i="1"/>
  <c r="N86" i="1"/>
  <c r="O87" i="1"/>
  <c r="N87" i="1"/>
  <c r="O88" i="1"/>
  <c r="N88" i="1"/>
  <c r="O89" i="1"/>
  <c r="N89" i="1"/>
  <c r="O90" i="1"/>
  <c r="N90" i="1"/>
  <c r="O91" i="1"/>
  <c r="N91" i="1"/>
  <c r="O92" i="1"/>
  <c r="N92" i="1"/>
  <c r="O93" i="1"/>
  <c r="N93" i="1"/>
  <c r="O94" i="1"/>
  <c r="N94" i="1"/>
  <c r="O95" i="1"/>
  <c r="N95" i="1"/>
  <c r="O96" i="1"/>
  <c r="N96" i="1"/>
  <c r="O97" i="1"/>
  <c r="N97" i="1"/>
  <c r="O98" i="1"/>
  <c r="N98" i="1"/>
  <c r="O99" i="1"/>
  <c r="N99" i="1"/>
  <c r="O100" i="1"/>
  <c r="N100" i="1"/>
  <c r="O101" i="1"/>
  <c r="N101" i="1"/>
  <c r="O102" i="1"/>
  <c r="N102" i="1"/>
  <c r="O103" i="1"/>
  <c r="N103" i="1"/>
  <c r="O104" i="1"/>
  <c r="N104" i="1"/>
  <c r="O105" i="1"/>
  <c r="N105" i="1"/>
  <c r="O106" i="1"/>
  <c r="N106" i="1"/>
  <c r="O107" i="1"/>
  <c r="N107" i="1"/>
  <c r="O108" i="1"/>
  <c r="N108" i="1"/>
  <c r="O109" i="1"/>
  <c r="N109" i="1"/>
  <c r="O110" i="1"/>
  <c r="N110" i="1"/>
  <c r="O111" i="1"/>
  <c r="N111" i="1"/>
  <c r="O112" i="1"/>
  <c r="N112" i="1"/>
  <c r="O113" i="1"/>
  <c r="N113" i="1"/>
  <c r="O114" i="1"/>
  <c r="N114" i="1"/>
  <c r="O115" i="1"/>
  <c r="N115" i="1"/>
  <c r="O116" i="1"/>
  <c r="N116" i="1"/>
  <c r="O117" i="1"/>
  <c r="N117" i="1"/>
  <c r="O118" i="1"/>
  <c r="N118" i="1"/>
  <c r="O119" i="1"/>
  <c r="N119" i="1"/>
  <c r="O120" i="1"/>
  <c r="N120" i="1"/>
  <c r="O121" i="1"/>
  <c r="N121" i="1"/>
  <c r="O122" i="1"/>
  <c r="N122" i="1"/>
  <c r="O123" i="1"/>
  <c r="N123" i="1"/>
  <c r="O124" i="1"/>
  <c r="N124" i="1"/>
  <c r="O125" i="1"/>
  <c r="N125" i="1"/>
  <c r="O126" i="1"/>
  <c r="N126" i="1"/>
  <c r="O127" i="1"/>
  <c r="N127" i="1"/>
  <c r="O128" i="1"/>
  <c r="N128" i="1"/>
  <c r="O129" i="1"/>
  <c r="N129" i="1"/>
  <c r="O130" i="1"/>
  <c r="N130" i="1"/>
  <c r="O131" i="1"/>
  <c r="N131" i="1"/>
  <c r="O132" i="1"/>
  <c r="N132" i="1"/>
  <c r="O133" i="1"/>
  <c r="N133" i="1"/>
  <c r="O134" i="1"/>
  <c r="N134" i="1"/>
  <c r="O135" i="1"/>
  <c r="N135" i="1"/>
  <c r="O136" i="1"/>
  <c r="N136" i="1"/>
  <c r="O137" i="1"/>
  <c r="N137" i="1"/>
  <c r="O138" i="1"/>
  <c r="N138" i="1"/>
  <c r="O139" i="1"/>
  <c r="N139" i="1"/>
  <c r="O140" i="1"/>
  <c r="N140" i="1"/>
  <c r="O141" i="1"/>
  <c r="N141" i="1"/>
  <c r="O142" i="1"/>
  <c r="N142" i="1"/>
  <c r="O143" i="1"/>
  <c r="N143" i="1"/>
  <c r="O144" i="1"/>
  <c r="N144" i="1"/>
  <c r="K42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V45" i="1"/>
  <c r="Q45" i="1"/>
  <c r="W45" i="1"/>
  <c r="V46" i="1"/>
  <c r="Q46" i="1"/>
  <c r="W46" i="1"/>
  <c r="V47" i="1"/>
  <c r="Q47" i="1"/>
  <c r="W47" i="1"/>
  <c r="V48" i="1"/>
  <c r="Q48" i="1"/>
  <c r="W48" i="1"/>
  <c r="V49" i="1"/>
  <c r="Q49" i="1"/>
  <c r="W49" i="1"/>
  <c r="V50" i="1"/>
  <c r="Q50" i="1"/>
  <c r="W50" i="1"/>
  <c r="T50" i="1"/>
  <c r="V51" i="1"/>
  <c r="Q51" i="1"/>
  <c r="W51" i="1"/>
  <c r="T51" i="1"/>
  <c r="V52" i="1"/>
  <c r="Q52" i="1"/>
  <c r="W52" i="1"/>
  <c r="T52" i="1"/>
  <c r="V53" i="1"/>
  <c r="Q53" i="1"/>
  <c r="W53" i="1"/>
  <c r="T53" i="1"/>
  <c r="V54" i="1"/>
  <c r="Q54" i="1"/>
  <c r="W54" i="1"/>
  <c r="T54" i="1"/>
  <c r="V55" i="1"/>
  <c r="Q55" i="1"/>
  <c r="W55" i="1"/>
  <c r="T55" i="1"/>
  <c r="V56" i="1"/>
  <c r="Q56" i="1"/>
  <c r="W56" i="1"/>
  <c r="T56" i="1"/>
  <c r="V57" i="1"/>
  <c r="Q57" i="1"/>
  <c r="W57" i="1"/>
  <c r="T57" i="1"/>
  <c r="V58" i="1"/>
  <c r="Q58" i="1"/>
  <c r="W58" i="1"/>
  <c r="T58" i="1"/>
  <c r="V59" i="1"/>
  <c r="Q59" i="1"/>
  <c r="W59" i="1"/>
  <c r="T59" i="1"/>
  <c r="V60" i="1"/>
  <c r="Q60" i="1"/>
  <c r="W60" i="1"/>
  <c r="T60" i="1"/>
  <c r="T61" i="1"/>
  <c r="Q61" i="1"/>
  <c r="V61" i="1"/>
  <c r="W61" i="1"/>
  <c r="T62" i="1"/>
  <c r="V62" i="1"/>
  <c r="Q62" i="1"/>
  <c r="W62" i="1"/>
  <c r="V63" i="1"/>
  <c r="Q63" i="1"/>
  <c r="W63" i="1"/>
  <c r="T63" i="1"/>
  <c r="V64" i="1"/>
  <c r="Q64" i="1"/>
  <c r="W64" i="1"/>
  <c r="T64" i="1"/>
  <c r="T65" i="1"/>
  <c r="Q65" i="1"/>
  <c r="V65" i="1"/>
  <c r="W65" i="1"/>
  <c r="T66" i="1"/>
  <c r="V66" i="1"/>
  <c r="Q66" i="1"/>
  <c r="W66" i="1"/>
  <c r="T67" i="1"/>
  <c r="V67" i="1"/>
  <c r="Q67" i="1"/>
  <c r="W67" i="1"/>
  <c r="Q68" i="1"/>
  <c r="V68" i="1"/>
  <c r="T68" i="1"/>
  <c r="W68" i="1"/>
  <c r="V69" i="1"/>
  <c r="Q69" i="1"/>
  <c r="W69" i="1"/>
  <c r="T69" i="1"/>
  <c r="T70" i="1"/>
  <c r="V70" i="1"/>
  <c r="Q70" i="1"/>
  <c r="W70" i="1"/>
  <c r="V71" i="1"/>
  <c r="Q71" i="1"/>
  <c r="W71" i="1"/>
  <c r="T71" i="1"/>
  <c r="T72" i="1"/>
  <c r="Q72" i="1"/>
  <c r="V72" i="1"/>
  <c r="W72" i="1"/>
  <c r="V73" i="1"/>
  <c r="Q73" i="1"/>
  <c r="W73" i="1"/>
  <c r="T73" i="1"/>
  <c r="T74" i="1"/>
  <c r="V74" i="1"/>
  <c r="Q74" i="1"/>
  <c r="W74" i="1"/>
  <c r="Q75" i="1"/>
  <c r="V75" i="1"/>
  <c r="T75" i="1"/>
  <c r="W75" i="1"/>
  <c r="T76" i="1"/>
  <c r="Q76" i="1"/>
  <c r="V76" i="1"/>
  <c r="W76" i="1"/>
  <c r="T77" i="1"/>
  <c r="V77" i="1"/>
  <c r="Q77" i="1"/>
  <c r="W77" i="1"/>
  <c r="T78" i="1"/>
  <c r="V78" i="1"/>
  <c r="Q78" i="1"/>
  <c r="W78" i="1"/>
  <c r="Q79" i="1"/>
  <c r="V79" i="1"/>
  <c r="W79" i="1"/>
  <c r="T79" i="1"/>
  <c r="Q80" i="1"/>
  <c r="V80" i="1"/>
  <c r="T80" i="1"/>
  <c r="W80" i="1"/>
  <c r="T81" i="1"/>
  <c r="V81" i="1"/>
  <c r="Q81" i="1"/>
  <c r="W81" i="1"/>
  <c r="T82" i="1"/>
  <c r="Q82" i="1"/>
  <c r="V82" i="1"/>
  <c r="W82" i="1"/>
  <c r="Q83" i="1"/>
  <c r="V83" i="1"/>
  <c r="T83" i="1"/>
  <c r="W83" i="1"/>
  <c r="T84" i="1"/>
  <c r="Q84" i="1"/>
  <c r="V84" i="1"/>
  <c r="W84" i="1"/>
  <c r="T85" i="1"/>
  <c r="Q85" i="1"/>
  <c r="V85" i="1"/>
  <c r="W85" i="1"/>
  <c r="V86" i="1"/>
  <c r="Q86" i="1"/>
  <c r="W86" i="1"/>
  <c r="T86" i="1"/>
  <c r="T87" i="1"/>
  <c r="Q87" i="1"/>
  <c r="V87" i="1"/>
  <c r="W87" i="1"/>
  <c r="Q88" i="1"/>
  <c r="V88" i="1"/>
  <c r="T88" i="1"/>
  <c r="W88" i="1"/>
  <c r="T89" i="1"/>
  <c r="Q89" i="1"/>
  <c r="V89" i="1"/>
  <c r="W89" i="1"/>
  <c r="Q90" i="1"/>
  <c r="V90" i="1"/>
  <c r="T90" i="1"/>
  <c r="W90" i="1"/>
  <c r="Q91" i="1"/>
  <c r="V91" i="1"/>
  <c r="T91" i="1"/>
  <c r="W91" i="1"/>
  <c r="T92" i="1"/>
  <c r="Q92" i="1"/>
  <c r="V92" i="1"/>
  <c r="W92" i="1"/>
  <c r="V93" i="1"/>
  <c r="Q93" i="1"/>
  <c r="W93" i="1"/>
  <c r="T93" i="1"/>
  <c r="K40" i="1" a="1"/>
  <c r="K40" i="1"/>
  <c r="T94" i="1"/>
  <c r="Q94" i="1"/>
  <c r="V94" i="1"/>
  <c r="W94" i="1"/>
  <c r="T95" i="1"/>
  <c r="Q95" i="1"/>
  <c r="V95" i="1"/>
  <c r="W95" i="1"/>
  <c r="T96" i="1"/>
  <c r="Q96" i="1"/>
  <c r="V96" i="1"/>
  <c r="W96" i="1"/>
  <c r="T97" i="1"/>
  <c r="Q97" i="1"/>
  <c r="V97" i="1"/>
  <c r="W97" i="1"/>
  <c r="T98" i="1"/>
  <c r="V98" i="1"/>
  <c r="Q98" i="1"/>
  <c r="W98" i="1"/>
  <c r="T99" i="1"/>
  <c r="V99" i="1"/>
  <c r="Q99" i="1"/>
  <c r="W99" i="1"/>
  <c r="T100" i="1"/>
  <c r="V100" i="1"/>
  <c r="Q100" i="1"/>
  <c r="W100" i="1"/>
  <c r="T101" i="1"/>
  <c r="V101" i="1"/>
  <c r="Q101" i="1"/>
  <c r="W101" i="1"/>
  <c r="T102" i="1"/>
  <c r="V102" i="1"/>
  <c r="Q102" i="1"/>
  <c r="W102" i="1"/>
  <c r="T103" i="1"/>
  <c r="Q103" i="1"/>
  <c r="V103" i="1"/>
  <c r="W103" i="1"/>
  <c r="T104" i="1"/>
  <c r="Q104" i="1"/>
  <c r="V104" i="1"/>
  <c r="W104" i="1"/>
  <c r="T105" i="1"/>
  <c r="V105" i="1"/>
  <c r="Q105" i="1"/>
  <c r="W105" i="1"/>
  <c r="T106" i="1"/>
  <c r="V106" i="1"/>
  <c r="Q106" i="1"/>
  <c r="W106" i="1"/>
  <c r="T107" i="1"/>
  <c r="V107" i="1"/>
  <c r="Q107" i="1"/>
  <c r="W107" i="1"/>
  <c r="T108" i="1"/>
  <c r="V108" i="1"/>
  <c r="Q108" i="1"/>
  <c r="W108" i="1"/>
  <c r="T109" i="1"/>
  <c r="Q109" i="1"/>
  <c r="V109" i="1"/>
  <c r="W109" i="1"/>
  <c r="T110" i="1"/>
  <c r="V110" i="1"/>
  <c r="Q110" i="1"/>
  <c r="W110" i="1"/>
  <c r="T111" i="1"/>
  <c r="V111" i="1"/>
  <c r="Q111" i="1"/>
  <c r="W111" i="1"/>
  <c r="T112" i="1"/>
  <c r="Q112" i="1"/>
  <c r="V112" i="1"/>
  <c r="W112" i="1"/>
  <c r="T113" i="1"/>
  <c r="V113" i="1"/>
  <c r="Q113" i="1"/>
  <c r="W113" i="1"/>
  <c r="T114" i="1"/>
  <c r="V114" i="1"/>
  <c r="Q114" i="1"/>
  <c r="W114" i="1"/>
  <c r="T115" i="1"/>
  <c r="V115" i="1"/>
  <c r="Q115" i="1"/>
  <c r="W115" i="1"/>
  <c r="T116" i="1"/>
  <c r="V116" i="1"/>
  <c r="Q116" i="1"/>
  <c r="W116" i="1"/>
  <c r="T117" i="1"/>
  <c r="Q117" i="1"/>
  <c r="V117" i="1"/>
  <c r="W117" i="1"/>
  <c r="T118" i="1"/>
  <c r="V118" i="1"/>
  <c r="Q118" i="1"/>
  <c r="W118" i="1"/>
  <c r="V119" i="1"/>
  <c r="Q119" i="1"/>
  <c r="W119" i="1"/>
  <c r="T119" i="1"/>
  <c r="T120" i="1"/>
  <c r="Q120" i="1"/>
  <c r="V120" i="1"/>
  <c r="W120" i="1"/>
  <c r="Q121" i="1"/>
  <c r="V121" i="1"/>
  <c r="T121" i="1"/>
  <c r="W121" i="1"/>
  <c r="T122" i="1"/>
  <c r="Q122" i="1"/>
  <c r="V122" i="1"/>
  <c r="W122" i="1"/>
  <c r="T123" i="1"/>
  <c r="Q123" i="1"/>
  <c r="V123" i="1"/>
  <c r="W123" i="1"/>
  <c r="T124" i="1"/>
  <c r="V124" i="1"/>
  <c r="Q124" i="1"/>
  <c r="W124" i="1"/>
  <c r="Q125" i="1"/>
  <c r="V125" i="1"/>
  <c r="T125" i="1"/>
  <c r="W125" i="1"/>
  <c r="V126" i="1"/>
  <c r="Q126" i="1"/>
  <c r="W126" i="1"/>
  <c r="T126" i="1"/>
  <c r="Q127" i="1"/>
  <c r="V127" i="1"/>
  <c r="W127" i="1"/>
  <c r="T127" i="1"/>
  <c r="T128" i="1"/>
  <c r="V128" i="1"/>
  <c r="Q128" i="1"/>
  <c r="W128" i="1"/>
  <c r="Q129" i="1"/>
  <c r="V129" i="1"/>
  <c r="T129" i="1"/>
  <c r="W129" i="1"/>
  <c r="T130" i="1"/>
  <c r="Q130" i="1"/>
  <c r="V130" i="1"/>
  <c r="W130" i="1"/>
  <c r="T131" i="1"/>
  <c r="V131" i="1"/>
  <c r="Q131" i="1"/>
  <c r="W131" i="1"/>
  <c r="T132" i="1"/>
  <c r="V132" i="1"/>
  <c r="Q132" i="1"/>
  <c r="W132" i="1"/>
  <c r="T133" i="1"/>
  <c r="V133" i="1"/>
  <c r="Q133" i="1"/>
  <c r="W133" i="1"/>
  <c r="Q134" i="1"/>
  <c r="V134" i="1"/>
  <c r="T134" i="1"/>
  <c r="W134" i="1"/>
  <c r="T135" i="1"/>
  <c r="Q135" i="1"/>
  <c r="V135" i="1"/>
  <c r="W135" i="1"/>
  <c r="Q136" i="1"/>
  <c r="V136" i="1"/>
  <c r="T136" i="1"/>
  <c r="W136" i="1"/>
  <c r="Q137" i="1"/>
  <c r="V137" i="1"/>
  <c r="T137" i="1"/>
  <c r="W137" i="1"/>
  <c r="T138" i="1"/>
  <c r="Q138" i="1"/>
  <c r="V138" i="1"/>
  <c r="W138" i="1"/>
  <c r="T139" i="1"/>
  <c r="Q139" i="1"/>
  <c r="V139" i="1"/>
  <c r="W139" i="1"/>
  <c r="T140" i="1"/>
  <c r="V140" i="1"/>
  <c r="Q140" i="1"/>
  <c r="W140" i="1"/>
  <c r="T141" i="1"/>
  <c r="Q141" i="1"/>
  <c r="V141" i="1"/>
  <c r="W141" i="1"/>
  <c r="V142" i="1"/>
  <c r="Q142" i="1"/>
  <c r="W142" i="1"/>
  <c r="T142" i="1"/>
  <c r="V143" i="1"/>
  <c r="Q143" i="1"/>
  <c r="W143" i="1"/>
  <c r="T143" i="1"/>
  <c r="T144" i="1"/>
  <c r="V144" i="1"/>
  <c r="Q144" i="1"/>
  <c r="W144" i="1"/>
  <c r="K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2F68D759-447A-C74B-BCA7-CFC59909FE28}">
      <text>
        <r>
          <rPr>
            <sz val="10"/>
            <color rgb="FF000000"/>
            <rFont val="Verdana"/>
            <family val="2"/>
          </rPr>
          <t>speciesConstant1</t>
        </r>
      </text>
    </comment>
    <comment ref="B4" authorId="0" shapeId="0" xr:uid="{DEEA8A5D-8691-114F-ABF5-180F0C763DA6}">
      <text>
        <r>
          <rPr>
            <sz val="10"/>
            <color rgb="FF000000"/>
            <rFont val="Verdana"/>
            <family val="2"/>
          </rPr>
          <t>speciesExponent1</t>
        </r>
      </text>
    </comment>
    <comment ref="B7" authorId="0" shapeId="0" xr:uid="{DF17E6B5-42DF-484E-A617-64E70305062C}">
      <text>
        <r>
          <rPr>
            <sz val="10"/>
            <color rgb="FF000000"/>
            <rFont val="Verdana"/>
            <family val="2"/>
          </rPr>
          <t>speciesConstant2</t>
        </r>
      </text>
    </comment>
    <comment ref="B8" authorId="0" shapeId="0" xr:uid="{A0A9187B-B8EE-F545-A964-A471FD87460E}">
      <text>
        <r>
          <rPr>
            <sz val="10"/>
            <color rgb="FF000000"/>
            <rFont val="Verdana"/>
            <family val="2"/>
          </rPr>
          <t>speciesExponent2</t>
        </r>
      </text>
    </comment>
    <comment ref="H8" authorId="0" shapeId="0" xr:uid="{A6A54614-3476-B149-91BF-E51883C38193}">
      <text>
        <r>
          <rPr>
            <sz val="10"/>
            <color rgb="FF000000"/>
            <rFont val="Verdana"/>
            <family val="2"/>
          </rPr>
          <t xml:space="preserve">Sean T. Hammond:
There is a age bias in data where mature individuals are sampled more than very young individuals. More studies are starting to be done on younger trees.
</t>
        </r>
      </text>
    </comment>
    <comment ref="B11" authorId="0" shapeId="0" xr:uid="{F9449BB7-50AE-1744-97A6-BC2C78DDAEB1}">
      <text>
        <r>
          <rPr>
            <sz val="10"/>
            <color rgb="FF000000"/>
            <rFont val="Verdana"/>
            <family val="2"/>
          </rPr>
          <t>speciesConstant3</t>
        </r>
      </text>
    </comment>
    <comment ref="B12" authorId="0" shapeId="0" xr:uid="{8CD0C3EE-7BC5-7943-B887-BC777E1B9853}">
      <text>
        <r>
          <rPr>
            <sz val="10"/>
            <color rgb="FF000000"/>
            <rFont val="Verdana"/>
            <family val="2"/>
          </rPr>
          <t>speciesExponent3</t>
        </r>
      </text>
    </comment>
    <comment ref="B15" authorId="0" shapeId="0" xr:uid="{02D68593-15BB-E94D-848A-422A3199B2C0}">
      <text>
        <r>
          <rPr>
            <sz val="10"/>
            <color rgb="FF000000"/>
            <rFont val="Verdana"/>
            <family val="2"/>
          </rPr>
          <t>speciesConstant20</t>
        </r>
      </text>
    </comment>
    <comment ref="B16" authorId="0" shapeId="0" xr:uid="{9AF2A7AA-A1A5-1844-83D2-D99198A94388}">
      <text>
        <r>
          <rPr>
            <sz val="10"/>
            <color rgb="FF000000"/>
            <rFont val="Verdana"/>
            <family val="2"/>
          </rPr>
          <t>speciesExponent20</t>
        </r>
      </text>
    </comment>
    <comment ref="B19" authorId="0" shapeId="0" xr:uid="{F220C37B-5807-784C-8629-4F449C386015}">
      <text>
        <r>
          <rPr>
            <sz val="10"/>
            <color rgb="FF000000"/>
            <rFont val="Verdana"/>
            <family val="2"/>
          </rPr>
          <t>speciesConstant7</t>
        </r>
      </text>
    </comment>
    <comment ref="B20" authorId="0" shapeId="0" xr:uid="{8631DAA5-9EE5-404F-A433-3BB143C56802}">
      <text>
        <r>
          <rPr>
            <sz val="10"/>
            <color rgb="FF000000"/>
            <rFont val="Verdana"/>
            <family val="2"/>
          </rPr>
          <t>speciesExponent7</t>
        </r>
      </text>
    </comment>
    <comment ref="H20" authorId="0" shapeId="0" xr:uid="{B497523D-B349-254D-B915-509550D87CCD}">
      <text>
        <r>
          <rPr>
            <sz val="10"/>
            <color rgb="FF000000"/>
            <rFont val="Verdana"/>
            <family val="2"/>
          </rPr>
          <t xml:space="preserve">Sean T. Hammond:
This value is almost certainly an artifact of poorly screened data and overlapping (and different) mature growth curves.
</t>
        </r>
      </text>
    </comment>
    <comment ref="B21" authorId="0" shapeId="0" xr:uid="{588CE665-88B1-CF4F-90C1-518DC5EF32E7}">
      <text>
        <r>
          <rPr>
            <sz val="10"/>
            <color rgb="FF000000"/>
            <rFont val="Verdana"/>
            <family val="2"/>
          </rPr>
          <t>speciesConstant6</t>
        </r>
      </text>
    </comment>
    <comment ref="B24" authorId="0" shapeId="0" xr:uid="{57783977-D896-9B4D-9B0E-515709AFEDD4}">
      <text>
        <r>
          <rPr>
            <sz val="10"/>
            <color rgb="FF000000"/>
            <rFont val="Verdana"/>
            <family val="2"/>
          </rPr>
          <t>heightStemMax</t>
        </r>
      </text>
    </comment>
    <comment ref="B25" authorId="0" shapeId="0" xr:uid="{26FD6E80-BB5F-6741-A8AD-634BFCF5F5A2}">
      <text>
        <r>
          <rPr>
            <sz val="10"/>
            <color rgb="FF000000"/>
            <rFont val="Verdana"/>
            <family val="2"/>
          </rPr>
          <t>speciesConstant8</t>
        </r>
      </text>
    </comment>
    <comment ref="C31" authorId="0" shapeId="0" xr:uid="{E5C9799A-18B4-2D40-8590-2E88855B36A0}">
      <text>
        <r>
          <rPr>
            <sz val="10"/>
            <color rgb="FF000000"/>
            <rFont val="Verdana"/>
            <family val="2"/>
          </rPr>
          <t>Sean T. Hammond:
I do not recommend you change this value</t>
        </r>
      </text>
    </comment>
    <comment ref="C32" authorId="0" shapeId="0" xr:uid="{30B8CB71-6618-0C49-BFE6-5D484502CD6C}">
      <text>
        <r>
          <rPr>
            <sz val="10"/>
            <color rgb="FF000000"/>
            <rFont val="Verdana"/>
            <family val="2"/>
          </rPr>
          <t>Sean T. Hammond:
Do not change this unless you understand how Vida calculates canopy spread</t>
        </r>
      </text>
    </comment>
    <comment ref="B33" authorId="0" shapeId="0" xr:uid="{4C22E88B-342A-6B4A-BE7D-2C75BC2F4A12}">
      <text>
        <r>
          <rPr>
            <sz val="10"/>
            <color rgb="FF000000"/>
            <rFont val="Verdana"/>
            <family val="2"/>
          </rPr>
          <t>densityStem</t>
        </r>
      </text>
    </comment>
    <comment ref="B34" authorId="0" shapeId="0" xr:uid="{4688D3E8-6C19-C442-A5B3-939CA8A92A25}">
      <text>
        <r>
          <rPr>
            <sz val="10"/>
            <color rgb="FF000000"/>
            <rFont val="Verdana"/>
            <family val="2"/>
          </rPr>
          <t>youngsModulusStem</t>
        </r>
      </text>
    </comment>
    <comment ref="C35" authorId="0" shapeId="0" xr:uid="{FE84C40A-7A2F-4A4B-9DD6-73BB812CD9E3}">
      <text>
        <r>
          <rPr>
            <sz val="10"/>
            <color rgb="FF000000"/>
            <rFont val="Verdana"/>
            <family val="2"/>
          </rPr>
          <t>Sean T. Hammond:
Do not change this unless you understand how Vida calculates canopy spread</t>
        </r>
      </text>
    </comment>
    <comment ref="B37" authorId="0" shapeId="0" xr:uid="{182E2AF9-52AB-C942-9B14-BCD808259AEE}">
      <text>
        <r>
          <rPr>
            <sz val="10"/>
            <color rgb="FF000000"/>
            <rFont val="Verdana"/>
            <family val="2"/>
          </rPr>
          <t>fractionCarbonToStem</t>
        </r>
      </text>
    </comment>
  </commentList>
</comments>
</file>

<file path=xl/sharedStrings.xml><?xml version="1.0" encoding="utf-8"?>
<sst xmlns="http://schemas.openxmlformats.org/spreadsheetml/2006/main" count="88" uniqueCount="73">
  <si>
    <t>Suggested values</t>
  </si>
  <si>
    <t>Woody mass from total mass</t>
  </si>
  <si>
    <t>Edit these    \/</t>
  </si>
  <si>
    <t>STH suggestions</t>
  </si>
  <si>
    <t>Average Angiosperm</t>
  </si>
  <si>
    <t>Average Gymnosperm</t>
  </si>
  <si>
    <t>Allometric theory</t>
  </si>
  <si>
    <t>Ms=ß1*Mt^a1</t>
  </si>
  <si>
    <t>ß1=</t>
  </si>
  <si>
    <t>NA</t>
  </si>
  <si>
    <t>a1=</t>
  </si>
  <si>
    <t>Canopy mass(young) from woody mass</t>
  </si>
  <si>
    <t>Mlyoung=ß2*Ms^a2</t>
  </si>
  <si>
    <t>ß2=</t>
  </si>
  <si>
    <t>a2=</t>
  </si>
  <si>
    <t>Canopy mass(mature) from woody mass</t>
  </si>
  <si>
    <t>Mlmature=ß3*Ms^a3</t>
  </si>
  <si>
    <t>ß3=</t>
  </si>
  <si>
    <t>a3=</t>
  </si>
  <si>
    <t>0.75 for angiosperms, 0.8 for gymnosperms</t>
  </si>
  <si>
    <t>Woody diameter from woody mass</t>
  </si>
  <si>
    <t>Ds=ß4*Ms^a4</t>
  </si>
  <si>
    <t>ß4</t>
  </si>
  <si>
    <t>a4</t>
  </si>
  <si>
    <t>Tree height(young) from woody diameter</t>
  </si>
  <si>
    <t>Hsyoung=(ß5*Ds^a5)-ß6</t>
  </si>
  <si>
    <t>ß5</t>
  </si>
  <si>
    <t>a5</t>
  </si>
  <si>
    <t>ß6</t>
  </si>
  <si>
    <t>Tree height(mature) from woody diameter</t>
  </si>
  <si>
    <t>Hsmature=ß7 + ß8 ln Ds</t>
  </si>
  <si>
    <t>ß7 (max height)</t>
  </si>
  <si>
    <t>Look up</t>
  </si>
  <si>
    <t>ß8</t>
  </si>
  <si>
    <t>Total growth from projected area and canopy mass</t>
  </si>
  <si>
    <t>Gt=Alprojected*[ß9*(Ml^a)]</t>
  </si>
  <si>
    <t>ß9</t>
  </si>
  <si>
    <t>a6</t>
  </si>
  <si>
    <t>IdealSeedlingMass</t>
  </si>
  <si>
    <t>DensityLeaf:</t>
  </si>
  <si>
    <t>~900</t>
  </si>
  <si>
    <t>DensityStem:</t>
  </si>
  <si>
    <t>YoungsModStem:</t>
  </si>
  <si>
    <t>HeightLeaf:</t>
  </si>
  <si>
    <t>fractStem@germ:</t>
  </si>
  <si>
    <t>waterTolerance:</t>
  </si>
  <si>
    <t>droughtTolerance:</t>
  </si>
  <si>
    <t>Projected age of maturity (years):</t>
  </si>
  <si>
    <t>Warnings:</t>
  </si>
  <si>
    <t>Cycle</t>
  </si>
  <si>
    <t>Gnew</t>
  </si>
  <si>
    <t>Mt</t>
  </si>
  <si>
    <t>Ms</t>
  </si>
  <si>
    <t>Hs young</t>
  </si>
  <si>
    <t>Hs mature</t>
  </si>
  <si>
    <t>Mature?</t>
  </si>
  <si>
    <t>Hs</t>
  </si>
  <si>
    <t>Ml</t>
  </si>
  <si>
    <t>Ds</t>
  </si>
  <si>
    <t>old canonpy radius</t>
  </si>
  <si>
    <t>Alprojected</t>
  </si>
  <si>
    <t>Hcrit</t>
  </si>
  <si>
    <t>Violate Euler?</t>
  </si>
  <si>
    <t>% error Ms+Ml vs Mt (%)</t>
  </si>
  <si>
    <t>Percent error for mass cutoff:</t>
  </si>
  <si>
    <t>0.46 for angiosperms</t>
  </si>
  <si>
    <t>Sensitivity analysis</t>
  </si>
  <si>
    <t>ModulusRupture</t>
  </si>
  <si>
    <t>Canopy radius, corrected (m)</t>
  </si>
  <si>
    <t>Canopy areal density, sigma (kg/m^2)</t>
  </si>
  <si>
    <t>L_max: canopy bending limit (m)</t>
  </si>
  <si>
    <t>Violate canopy limit?</t>
  </si>
  <si>
    <t>Number "spokes":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</si>
</sst>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5" x14ac:knownFonts="1">
    <font>
      <sz val="10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i/>
      <sz val="10"/>
      <name val="Verdana"/>
      <family val="2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i/>
      <sz val="10"/>
      <color theme="1"/>
      <name val="Verdana"/>
      <family val="2"/>
    </font>
    <font>
      <sz val="10"/>
      <color rgb="FFDD0806"/>
      <name val="Verdana"/>
      <family val="2"/>
    </font>
    <font>
      <i/>
      <sz val="10"/>
      <color theme="1"/>
      <name val="Verdana"/>
      <family val="2"/>
    </font>
    <font>
      <sz val="10"/>
      <color theme="1"/>
      <name val="Calibri"/>
      <family val="2"/>
    </font>
    <font>
      <b/>
      <sz val="10"/>
      <color rgb="FFFF0000"/>
      <name val="Verdana"/>
      <family val="2"/>
    </font>
    <font>
      <b/>
      <sz val="10"/>
      <color rgb="FF000000"/>
      <name val="Verdana"/>
      <family val="2"/>
    </font>
    <font>
      <b/>
      <sz val="10"/>
      <color theme="1"/>
      <name val="Verdana"/>
      <family val="2"/>
      <charset val="1"/>
    </font>
    <font>
      <sz val="10"/>
      <color theme="1"/>
      <name val="Verdana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  <fill>
      <patternFill patternType="solid">
        <fgColor rgb="FFE5DFEC"/>
        <bgColor rgb="FFE5DFEC"/>
      </patternFill>
    </fill>
    <fill>
      <patternFill patternType="solid">
        <fgColor rgb="FFCCC0D9"/>
        <bgColor rgb="FFCCC0D9"/>
      </patternFill>
    </fill>
    <fill>
      <patternFill patternType="solid">
        <fgColor rgb="FFBFBFBF"/>
        <bgColor rgb="FFBFBFBF"/>
      </patternFill>
    </fill>
    <fill>
      <patternFill patternType="solid">
        <fgColor rgb="FFEAF1DD"/>
        <bgColor rgb="FFEAF1DD"/>
      </patternFill>
    </fill>
    <fill>
      <patternFill patternType="solid">
        <fgColor rgb="FFD6E3BC"/>
        <bgColor rgb="FFD6E3BC"/>
      </patternFill>
    </fill>
    <fill>
      <patternFill patternType="solid">
        <fgColor rgb="FFC2D69B"/>
        <bgColor rgb="FFC2D69B"/>
      </patternFill>
    </fill>
    <fill>
      <patternFill patternType="solid">
        <fgColor rgb="FF76923C"/>
        <bgColor rgb="FF76923C"/>
      </patternFill>
    </fill>
    <fill>
      <patternFill patternType="solid">
        <fgColor rgb="FFFDE9D9"/>
        <bgColor rgb="FFFDE9D9"/>
      </patternFill>
    </fill>
    <fill>
      <patternFill patternType="solid">
        <fgColor rgb="FFFBD4B4"/>
        <bgColor rgb="FFFBD4B4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rgb="FF95B3D7"/>
        <bgColor rgb="FF95B3D7"/>
      </patternFill>
    </fill>
    <fill>
      <patternFill patternType="solid">
        <fgColor rgb="FFC6D9F0"/>
        <bgColor rgb="FFC6D9F0"/>
      </patternFill>
    </fill>
    <fill>
      <patternFill patternType="solid">
        <fgColor rgb="FF8DB3E2"/>
        <bgColor rgb="FF8DB3E2"/>
      </patternFill>
    </fill>
    <fill>
      <patternFill patternType="solid">
        <fgColor rgb="FFDDD9C3"/>
        <bgColor rgb="FFDDD9C3"/>
      </patternFill>
    </fill>
    <fill>
      <patternFill patternType="solid">
        <fgColor rgb="FFC4BD97"/>
        <bgColor rgb="FFC4BD97"/>
      </patternFill>
    </fill>
    <fill>
      <patternFill patternType="solid">
        <fgColor rgb="FFDAEEF3"/>
        <bgColor rgb="FFDAEEF3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9">
    <xf numFmtId="0" fontId="0" fillId="0" borderId="0" xfId="0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2" borderId="0" xfId="0" applyFont="1" applyFill="1" applyAlignment="1">
      <alignment horizontal="center" wrapText="1"/>
    </xf>
    <xf numFmtId="0" fontId="7" fillId="0" borderId="1" xfId="0" applyFont="1" applyBorder="1" applyAlignment="1">
      <alignment wrapText="1"/>
    </xf>
    <xf numFmtId="0" fontId="5" fillId="3" borderId="2" xfId="0" applyFont="1" applyFill="1" applyBorder="1"/>
    <xf numFmtId="0" fontId="6" fillId="3" borderId="2" xfId="0" applyFont="1" applyFill="1" applyBorder="1"/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right"/>
    </xf>
    <xf numFmtId="0" fontId="5" fillId="4" borderId="1" xfId="0" applyFont="1" applyFill="1" applyBorder="1"/>
    <xf numFmtId="0" fontId="6" fillId="4" borderId="1" xfId="0" applyFont="1" applyFill="1" applyBorder="1"/>
    <xf numFmtId="0" fontId="5" fillId="5" borderId="3" xfId="0" applyFont="1" applyFill="1" applyBorder="1" applyAlignment="1">
      <alignment wrapText="1"/>
    </xf>
    <xf numFmtId="0" fontId="5" fillId="5" borderId="4" xfId="0" applyFont="1" applyFill="1" applyBorder="1"/>
    <xf numFmtId="0" fontId="6" fillId="5" borderId="4" xfId="0" applyFont="1" applyFill="1" applyBorder="1"/>
    <xf numFmtId="0" fontId="5" fillId="5" borderId="4" xfId="0" applyFont="1" applyFill="1" applyBorder="1" applyAlignment="1">
      <alignment horizontal="right" wrapText="1"/>
    </xf>
    <xf numFmtId="0" fontId="5" fillId="5" borderId="4" xfId="0" applyFont="1" applyFill="1" applyBorder="1" applyAlignment="1">
      <alignment horizontal="right"/>
    </xf>
    <xf numFmtId="0" fontId="5" fillId="5" borderId="5" xfId="0" applyFont="1" applyFill="1" applyBorder="1" applyAlignment="1">
      <alignment horizontal="right"/>
    </xf>
    <xf numFmtId="0" fontId="5" fillId="0" borderId="1" xfId="0" applyFont="1" applyBorder="1"/>
    <xf numFmtId="0" fontId="6" fillId="0" borderId="1" xfId="0" applyFont="1" applyBorder="1"/>
    <xf numFmtId="0" fontId="5" fillId="6" borderId="1" xfId="0" applyFont="1" applyFill="1" applyBorder="1"/>
    <xf numFmtId="0" fontId="6" fillId="6" borderId="1" xfId="0" applyFont="1" applyFill="1" applyBorder="1"/>
    <xf numFmtId="0" fontId="5" fillId="7" borderId="1" xfId="0" applyFont="1" applyFill="1" applyBorder="1"/>
    <xf numFmtId="0" fontId="6" fillId="7" borderId="1" xfId="0" applyFont="1" applyFill="1" applyBorder="1"/>
    <xf numFmtId="0" fontId="5" fillId="8" borderId="1" xfId="0" applyFont="1" applyFill="1" applyBorder="1"/>
    <xf numFmtId="0" fontId="6" fillId="8" borderId="1" xfId="0" applyFont="1" applyFill="1" applyBorder="1"/>
    <xf numFmtId="0" fontId="5" fillId="9" borderId="1" xfId="0" applyFont="1" applyFill="1" applyBorder="1"/>
    <xf numFmtId="0" fontId="6" fillId="9" borderId="1" xfId="0" applyFont="1" applyFill="1" applyBorder="1"/>
    <xf numFmtId="0" fontId="5" fillId="10" borderId="1" xfId="0" applyFont="1" applyFill="1" applyBorder="1"/>
    <xf numFmtId="0" fontId="6" fillId="10" borderId="1" xfId="0" applyFont="1" applyFill="1" applyBorder="1"/>
    <xf numFmtId="0" fontId="5" fillId="11" borderId="1" xfId="0" applyFont="1" applyFill="1" applyBorder="1"/>
    <xf numFmtId="0" fontId="6" fillId="11" borderId="1" xfId="0" applyFont="1" applyFill="1" applyBorder="1"/>
    <xf numFmtId="0" fontId="5" fillId="12" borderId="1" xfId="0" applyFont="1" applyFill="1" applyBorder="1"/>
    <xf numFmtId="0" fontId="6" fillId="12" borderId="1" xfId="0" applyFont="1" applyFill="1" applyBorder="1"/>
    <xf numFmtId="0" fontId="5" fillId="0" borderId="0" xfId="0" applyFont="1"/>
    <xf numFmtId="0" fontId="8" fillId="0" borderId="0" xfId="0" applyFont="1" applyAlignment="1">
      <alignment wrapText="1"/>
    </xf>
    <xf numFmtId="0" fontId="5" fillId="13" borderId="1" xfId="0" applyFont="1" applyFill="1" applyBorder="1"/>
    <xf numFmtId="0" fontId="6" fillId="13" borderId="1" xfId="0" applyFont="1" applyFill="1" applyBorder="1"/>
    <xf numFmtId="0" fontId="5" fillId="14" borderId="1" xfId="0" applyFont="1" applyFill="1" applyBorder="1"/>
    <xf numFmtId="0" fontId="6" fillId="14" borderId="1" xfId="0" applyFont="1" applyFill="1" applyBorder="1"/>
    <xf numFmtId="0" fontId="8" fillId="0" borderId="0" xfId="0" applyFont="1"/>
    <xf numFmtId="0" fontId="5" fillId="15" borderId="1" xfId="0" applyFont="1" applyFill="1" applyBorder="1" applyAlignment="1">
      <alignment wrapText="1"/>
    </xf>
    <xf numFmtId="0" fontId="9" fillId="15" borderId="1" xfId="0" applyFont="1" applyFill="1" applyBorder="1"/>
    <xf numFmtId="0" fontId="5" fillId="16" borderId="1" xfId="0" applyFont="1" applyFill="1" applyBorder="1"/>
    <xf numFmtId="0" fontId="6" fillId="16" borderId="1" xfId="0" applyFont="1" applyFill="1" applyBorder="1"/>
    <xf numFmtId="0" fontId="5" fillId="17" borderId="1" xfId="0" applyFont="1" applyFill="1" applyBorder="1"/>
    <xf numFmtId="0" fontId="6" fillId="17" borderId="1" xfId="0" applyFont="1" applyFill="1" applyBorder="1"/>
    <xf numFmtId="0" fontId="5" fillId="18" borderId="1" xfId="0" applyFont="1" applyFill="1" applyBorder="1"/>
    <xf numFmtId="0" fontId="6" fillId="18" borderId="1" xfId="0" applyFont="1" applyFill="1" applyBorder="1"/>
    <xf numFmtId="0" fontId="5" fillId="19" borderId="0" xfId="0" applyFont="1" applyFill="1" applyAlignment="1">
      <alignment wrapText="1"/>
    </xf>
    <xf numFmtId="0" fontId="5" fillId="19" borderId="1" xfId="0" applyFont="1" applyFill="1" applyBorder="1"/>
    <xf numFmtId="0" fontId="9" fillId="19" borderId="1" xfId="0" applyFont="1" applyFill="1" applyBorder="1"/>
    <xf numFmtId="0" fontId="5" fillId="20" borderId="0" xfId="0" applyFont="1" applyFill="1" applyAlignment="1">
      <alignment wrapText="1"/>
    </xf>
    <xf numFmtId="0" fontId="5" fillId="20" borderId="1" xfId="0" applyFont="1" applyFill="1" applyBorder="1"/>
    <xf numFmtId="0" fontId="9" fillId="20" borderId="1" xfId="0" applyFont="1" applyFill="1" applyBorder="1"/>
    <xf numFmtId="0" fontId="5" fillId="0" borderId="6" xfId="0" applyFont="1" applyBorder="1" applyAlignment="1">
      <alignment horizontal="right"/>
    </xf>
    <xf numFmtId="0" fontId="5" fillId="0" borderId="7" xfId="0" applyFont="1" applyBorder="1"/>
    <xf numFmtId="0" fontId="5" fillId="0" borderId="7" xfId="0" applyFont="1" applyBorder="1" applyAlignment="1">
      <alignment horizontal="right" wrapText="1"/>
    </xf>
    <xf numFmtId="0" fontId="5" fillId="0" borderId="7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1" fillId="5" borderId="3" xfId="0" applyFont="1" applyFill="1" applyBorder="1" applyAlignment="1">
      <alignment wrapText="1"/>
    </xf>
    <xf numFmtId="0" fontId="10" fillId="0" borderId="0" xfId="0" applyFont="1"/>
    <xf numFmtId="0" fontId="6" fillId="21" borderId="0" xfId="0" applyFont="1" applyFill="1" applyAlignment="1">
      <alignment wrapText="1"/>
    </xf>
    <xf numFmtId="0" fontId="6" fillId="21" borderId="0" xfId="0" applyFont="1" applyFill="1"/>
    <xf numFmtId="0" fontId="11" fillId="0" borderId="0" xfId="0" applyFont="1"/>
    <xf numFmtId="0" fontId="6" fillId="0" borderId="9" xfId="0" applyFont="1" applyBorder="1"/>
    <xf numFmtId="0" fontId="6" fillId="0" borderId="9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5" fillId="0" borderId="10" xfId="0" applyFont="1" applyBorder="1"/>
    <xf numFmtId="0" fontId="6" fillId="0" borderId="0" xfId="0" applyFont="1"/>
    <xf numFmtId="164" fontId="2" fillId="0" borderId="0" xfId="1" applyNumberFormat="1" applyFont="1" applyAlignment="1">
      <alignment wrapText="1"/>
    </xf>
    <xf numFmtId="164" fontId="3" fillId="0" borderId="0" xfId="1" applyNumberFormat="1" applyFont="1"/>
    <xf numFmtId="0" fontId="3" fillId="0" borderId="0" xfId="0" applyFont="1"/>
    <xf numFmtId="0" fontId="2" fillId="0" borderId="0" xfId="0" applyFont="1" applyAlignment="1">
      <alignment wrapText="1"/>
    </xf>
    <xf numFmtId="0" fontId="12" fillId="0" borderId="0" xfId="0" applyFont="1"/>
    <xf numFmtId="0" fontId="6" fillId="0" borderId="11" xfId="0" applyFont="1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/>
    <xf numFmtId="0" fontId="13" fillId="0" borderId="14" xfId="0" applyFont="1" applyBorder="1" applyAlignment="1">
      <alignment wrapText="1"/>
    </xf>
    <xf numFmtId="0" fontId="1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Woody Mass over Time</c:v>
          </c:tx>
          <c:spPr>
            <a:ln w="38100" cmpd="sng">
              <a:solidFill>
                <a:srgbClr val="666699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00"/>
              <c:pt idx="0">
                <c:v>2.7189162257612999E-3</c:v>
              </c:pt>
              <c:pt idx="1">
                <c:v>1.52773968810618E-2</c:v>
              </c:pt>
              <c:pt idx="2">
                <c:v>4.77194073500226E-2</c:v>
              </c:pt>
              <c:pt idx="3">
                <c:v>0.10840300351200099</c:v>
              </c:pt>
              <c:pt idx="4">
                <c:v>0.203681696103269</c:v>
              </c:pt>
              <c:pt idx="5">
                <c:v>0.338452543048962</c:v>
              </c:pt>
              <c:pt idx="6">
                <c:v>0.51663104609176902</c:v>
              </c:pt>
              <c:pt idx="7">
                <c:v>0.74145718180140496</c:v>
              </c:pt>
              <c:pt idx="8">
                <c:v>1.01568771880693</c:v>
              </c:pt>
              <c:pt idx="9">
                <c:v>1.3417205085896799</c:v>
              </c:pt>
              <c:pt idx="10">
                <c:v>1.7216779186242299</c:v>
              </c:pt>
              <c:pt idx="11">
                <c:v>2.1574649370293901</c:v>
              </c:pt>
              <c:pt idx="12">
                <c:v>2.6508109898333099</c:v>
              </c:pt>
              <c:pt idx="13">
                <c:v>3.2033009105144901</c:v>
              </c:pt>
              <c:pt idx="14">
                <c:v>3.81639845134083</c:v>
              </c:pt>
              <c:pt idx="15">
                <c:v>4.49146452007958</c:v>
              </c:pt>
              <c:pt idx="16">
                <c:v>5.2297715922077304</c:v>
              </c:pt>
              <c:pt idx="17">
                <c:v>6.0325152883835997</c:v>
              </c:pt>
              <c:pt idx="18">
                <c:v>6.9008238094757397</c:v>
              </c:pt>
              <c:pt idx="19">
                <c:v>7.83576572411115</c:v>
              </c:pt>
              <c:pt idx="20">
                <c:v>8.8383564696407895</c:v>
              </c:pt>
              <c:pt idx="21">
                <c:v>9.90956383435757</c:v>
              </c:pt>
              <c:pt idx="22">
                <c:v>11.0503126229292</c:v>
              </c:pt>
              <c:pt idx="23">
                <c:v>12.2614886595494</c:v>
              </c:pt>
              <c:pt idx="24">
                <c:v>13.543942248563299</c:v>
              </c:pt>
              <c:pt idx="25">
                <c:v>14.898491186505399</c:v>
              </c:pt>
              <c:pt idx="26">
                <c:v>16.325923400048499</c:v>
              </c:pt>
              <c:pt idx="27">
                <c:v>17.826999269538401</c:v>
              </c:pt>
              <c:pt idx="28">
                <c:v>19.402453686359902</c:v>
              </c:pt>
              <c:pt idx="29">
                <c:v>21.0356449798178</c:v>
              </c:pt>
              <c:pt idx="30">
                <c:v>22.722682460849999</c:v>
              </c:pt>
              <c:pt idx="31">
                <c:v>24.462773861316499</c:v>
              </c:pt>
              <c:pt idx="32">
                <c:v>26.2551713639395</c:v>
              </c:pt>
              <c:pt idx="33">
                <c:v>28.0991674425829</c:v>
              </c:pt>
              <c:pt idx="34">
                <c:v>29.994091234181401</c:v>
              </c:pt>
              <c:pt idx="35">
                <c:v>31.939305357659499</c:v>
              </c:pt>
              <c:pt idx="36">
                <c:v>33.934203111118102</c:v>
              </c:pt>
              <c:pt idx="37">
                <c:v>35.9782059910684</c:v>
              </c:pt>
              <c:pt idx="38">
                <c:v>38.070761487402798</c:v>
              </c:pt>
              <c:pt idx="39">
                <c:v>40.211341115690701</c:v>
              </c:pt>
              <c:pt idx="40">
                <c:v>42.399438654751201</c:v>
              </c:pt>
              <c:pt idx="41">
                <c:v>44.634568562600499</c:v>
              </c:pt>
              <c:pt idx="42">
                <c:v>46.916264548071403</c:v>
              </c:pt>
              <c:pt idx="43">
                <c:v>49.244078278846899</c:v>
              </c:pt>
              <c:pt idx="44">
                <c:v>51.617578209493203</c:v>
              </c:pt>
              <c:pt idx="45">
                <c:v>54.036348515435499</c:v>
              </c:pt>
              <c:pt idx="46">
                <c:v>56.499988120789403</c:v>
              </c:pt>
              <c:pt idx="47">
                <c:v>59.008109809609302</c:v>
              </c:pt>
              <c:pt idx="48">
                <c:v>61.560339411505304</c:v>
              </c:pt>
              <c:pt idx="49">
                <c:v>64.156315053757098</c:v>
              </c:pt>
              <c:pt idx="50">
                <c:v>66.795686473050097</c:v>
              </c:pt>
              <c:pt idx="51">
                <c:v>69.478114380814205</c:v>
              </c:pt>
              <c:pt idx="52">
                <c:v>72.203269876872199</c:v>
              </c:pt>
              <c:pt idx="53">
                <c:v>74.970833906735095</c:v>
              </c:pt>
              <c:pt idx="54">
                <c:v>77.780496758421407</c:v>
              </c:pt>
              <c:pt idx="55">
                <c:v>80.631957595145096</c:v>
              </c:pt>
              <c:pt idx="56">
                <c:v>83.524924020624496</c:v>
              </c:pt>
              <c:pt idx="57">
                <c:v>86.459111674118304</c:v>
              </c:pt>
              <c:pt idx="58">
                <c:v>89.434243852603203</c:v>
              </c:pt>
              <c:pt idx="59">
                <c:v>92.450051157779697</c:v>
              </c:pt>
              <c:pt idx="60">
                <c:v>95.506271165828196</c:v>
              </c:pt>
              <c:pt idx="61">
                <c:v>98.602648118050695</c:v>
              </c:pt>
              <c:pt idx="62">
                <c:v>101.73893263071299</c:v>
              </c:pt>
              <c:pt idx="63">
                <c:v>104.914881422574</c:v>
              </c:pt>
              <c:pt idx="64">
                <c:v>108.13025705871701</c:v>
              </c:pt>
              <c:pt idx="65">
                <c:v>111.384827709456</c:v>
              </c:pt>
              <c:pt idx="66">
                <c:v>114.678366923166</c:v>
              </c:pt>
              <c:pt idx="67">
                <c:v>118.01065341203</c:v>
              </c:pt>
              <c:pt idx="68">
                <c:v>121.381470849748</c:v>
              </c:pt>
              <c:pt idx="69">
                <c:v>124.790607680373</c:v>
              </c:pt>
              <c:pt idx="70">
                <c:v>128.23785693746899</c:v>
              </c:pt>
              <c:pt idx="71">
                <c:v>131.72301607290899</c:v>
              </c:pt>
              <c:pt idx="72">
                <c:v>135.245886794629</c:v>
              </c:pt>
              <c:pt idx="73">
                <c:v>138.80627491275001</c:v>
              </c:pt>
              <c:pt idx="74">
                <c:v>142.40399019352401</c:v>
              </c:pt>
              <c:pt idx="75">
                <c:v>146.03884622058001</c:v>
              </c:pt>
              <c:pt idx="76">
                <c:v>149.710660263015</c:v>
              </c:pt>
              <c:pt idx="77">
                <c:v>153.41925314988799</c:v>
              </c:pt>
              <c:pt idx="78">
                <c:v>157.16444915073501</c:v>
              </c:pt>
              <c:pt idx="79">
                <c:v>160.94607586171301</c:v>
              </c:pt>
              <c:pt idx="80">
                <c:v>164.763964097056</c:v>
              </c:pt>
              <c:pt idx="81">
                <c:v>168.61794778550399</c:v>
              </c:pt>
              <c:pt idx="82">
                <c:v>172.507863871437</c:v>
              </c:pt>
              <c:pt idx="83">
                <c:v>176.43355222041501</c:v>
              </c:pt>
              <c:pt idx="84">
                <c:v>180.394855528893</c:v>
              </c:pt>
              <c:pt idx="85">
                <c:v>184.39161923786301</c:v>
              </c:pt>
              <c:pt idx="86">
                <c:v>188.42369145020601</c:v>
              </c:pt>
              <c:pt idx="87">
                <c:v>192.49092285155399</c:v>
              </c:pt>
              <c:pt idx="88">
                <c:v>196.59316663446299</c:v>
              </c:pt>
              <c:pt idx="89">
                <c:v>200.73027842572799</c:v>
              </c:pt>
              <c:pt idx="90">
                <c:v>204.90211621666899</c:v>
              </c:pt>
              <c:pt idx="91">
                <c:v>209.108540296228</c:v>
              </c:pt>
              <c:pt idx="92">
                <c:v>213.349413186736</c:v>
              </c:pt>
              <c:pt idx="93">
                <c:v>217.62459958222101</c:v>
              </c:pt>
              <c:pt idx="94">
                <c:v>221.93396628910801</c:v>
              </c:pt>
              <c:pt idx="95">
                <c:v>226.27738216920901</c:v>
              </c:pt>
              <c:pt idx="96">
                <c:v>230.654718084889</c:v>
              </c:pt>
              <c:pt idx="97">
                <c:v>235.06584684628399</c:v>
              </c:pt>
              <c:pt idx="98">
                <c:v>0</c:v>
              </c:pt>
              <c:pt idx="99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C39-EC4D-A401-C23ACBA5D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6152927"/>
        <c:axId val="1"/>
      </c:lineChart>
      <c:catAx>
        <c:axId val="1756152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6152927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63747121749223579"/>
          <c:y val="0.51498609081050495"/>
          <c:w val="0.35060921667660072"/>
          <c:h val="0.15569333773398086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DBH over Time</c:v>
          </c:tx>
          <c:spPr>
            <a:ln w="38100" cmpd="sng">
              <a:solidFill>
                <a:srgbClr val="666699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00"/>
              <c:pt idx="0">
                <c:v>3.09335669129558E-3</c:v>
              </c:pt>
              <c:pt idx="1">
                <c:v>6.1930257058402096E-3</c:v>
              </c:pt>
              <c:pt idx="2">
                <c:v>9.7909414516054102E-3</c:v>
              </c:pt>
              <c:pt idx="3">
                <c:v>1.3618490467680501E-2</c:v>
              </c:pt>
              <c:pt idx="4">
                <c:v>1.75501991605111E-2</c:v>
              </c:pt>
              <c:pt idx="5">
                <c:v>2.1526550866242999E-2</c:v>
              </c:pt>
              <c:pt idx="6">
                <c:v>2.55177503878543E-2</c:v>
              </c:pt>
              <c:pt idx="7">
                <c:v>2.9508144526912E-2</c:v>
              </c:pt>
              <c:pt idx="8">
                <c:v>3.3489244404824398E-2</c:v>
              </c:pt>
              <c:pt idx="9">
                <c:v>3.7456395702698E-2</c:v>
              </c:pt>
              <c:pt idx="10">
                <c:v>4.1407089651454003E-2</c:v>
              </c:pt>
              <c:pt idx="11">
                <c:v>4.5340059562109798E-2</c:v>
              </c:pt>
              <c:pt idx="12">
                <c:v>4.9254775484729597E-2</c:v>
              </c:pt>
              <c:pt idx="13">
                <c:v>5.3151150912778701E-2</c:v>
              </c:pt>
              <c:pt idx="14">
                <c:v>5.7029367337774597E-2</c:v>
              </c:pt>
              <c:pt idx="15">
                <c:v>6.0889766728082301E-2</c:v>
              </c:pt>
              <c:pt idx="16">
                <c:v>6.4732784387802306E-2</c:v>
              </c:pt>
              <c:pt idx="17">
                <c:v>6.8558906460848806E-2</c:v>
              </c:pt>
              <c:pt idx="18">
                <c:v>7.2368642814494302E-2</c:v>
              </c:pt>
              <c:pt idx="19">
                <c:v>7.6162509699904596E-2</c:v>
              </c:pt>
              <c:pt idx="20">
                <c:v>7.9941018723139301E-2</c:v>
              </c:pt>
              <c:pt idx="21">
                <c:v>8.3704669938223203E-2</c:v>
              </c:pt>
              <c:pt idx="22">
                <c:v>8.7453947656498998E-2</c:v>
              </c:pt>
              <c:pt idx="23">
                <c:v>9.11893180555646E-2</c:v>
              </c:pt>
              <c:pt idx="24">
                <c:v>9.49112279823556E-2</c:v>
              </c:pt>
              <c:pt idx="25">
                <c:v>9.8620104546239803E-2</c:v>
              </c:pt>
              <c:pt idx="26">
                <c:v>0.10231635523006</c:v>
              </c:pt>
              <c:pt idx="27">
                <c:v>0.106000368334805</c:v>
              </c:pt>
              <c:pt idx="28">
                <c:v>0.10967251363252301</c:v>
              </c:pt>
              <c:pt idx="29">
                <c:v>0.11329556720318</c:v>
              </c:pt>
              <c:pt idx="30">
                <c:v>0.116865533238645</c:v>
              </c:pt>
              <c:pt idx="31">
                <c:v>0.120385386758007</c:v>
              </c:pt>
              <c:pt idx="32">
                <c:v>0.12385782459172399</c:v>
              </c:pt>
              <c:pt idx="33">
                <c:v>0.12728530091465201</c:v>
              </c:pt>
              <c:pt idx="34">
                <c:v>0.130670057124012</c:v>
              </c:pt>
              <c:pt idx="35">
                <c:v>0.13401414712603199</c:v>
              </c:pt>
              <c:pt idx="36">
                <c:v>0.13731945886647101</c:v>
              </c:pt>
              <c:pt idx="37">
                <c:v>0.14058773276641101</c:v>
              </c:pt>
              <c:pt idx="38">
                <c:v>0.14382057759129999</c:v>
              </c:pt>
              <c:pt idx="39">
                <c:v>0.147019484177947</c:v>
              </c:pt>
              <c:pt idx="40">
                <c:v>0.15018583736346</c:v>
              </c:pt>
              <c:pt idx="41">
                <c:v>0.15332092639665101</c:v>
              </c:pt>
              <c:pt idx="42">
                <c:v>0.156425954062057</c:v>
              </c:pt>
              <c:pt idx="43">
                <c:v>0.159502044706541</c:v>
              </c:pt>
              <c:pt idx="44">
                <c:v>0.16255025132613099</c:v>
              </c:pt>
              <c:pt idx="45">
                <c:v>0.16557156184461899</c:v>
              </c:pt>
              <c:pt idx="46">
                <c:v>0.168566904694193</c:v>
              </c:pt>
              <c:pt idx="47">
                <c:v>0.17153715379100601</c:v>
              </c:pt>
              <c:pt idx="48">
                <c:v>0.17448313298426399</c:v>
              </c:pt>
              <c:pt idx="49">
                <c:v>0.17740562004563301</c:v>
              </c:pt>
              <c:pt idx="50">
                <c:v>0.180305350255931</c:v>
              </c:pt>
              <c:pt idx="51">
                <c:v>0.183183019637919</c:v>
              </c:pt>
              <c:pt idx="52">
                <c:v>0.18603928787711499</c:v>
              </c:pt>
              <c:pt idx="53">
                <c:v>0.188874780966823</c:v>
              </c:pt>
              <c:pt idx="54">
                <c:v>0.19169009360868999</c:v>
              </c:pt>
              <c:pt idx="55">
                <c:v>0.19448579139596101</c:v>
              </c:pt>
              <c:pt idx="56">
                <c:v>0.19726241280312001</c:v>
              </c:pt>
              <c:pt idx="57">
                <c:v>0.20002047100258999</c:v>
              </c:pt>
              <c:pt idx="58">
                <c:v>0.202760455526588</c:v>
              </c:pt>
              <c:pt idx="59">
                <c:v>0.20548283379006699</c:v>
              </c:pt>
              <c:pt idx="60">
                <c:v>0.208188052488718</c:v>
              </c:pt>
              <c:pt idx="61">
                <c:v>0.21087653888441599</c:v>
              </c:pt>
              <c:pt idx="62">
                <c:v>0.21354870198903</c:v>
              </c:pt>
              <c:pt idx="63">
                <c:v>0.21620493365631199</c:v>
              </c:pt>
              <c:pt idx="64">
                <c:v>0.218845609590469</c:v>
              </c:pt>
              <c:pt idx="65">
                <c:v>0.221471090279107</c:v>
              </c:pt>
              <c:pt idx="66">
                <c:v>0.224081721857396</c:v>
              </c:pt>
              <c:pt idx="67">
                <c:v>0.22667783690958801</c:v>
              </c:pt>
              <c:pt idx="68">
                <c:v>0.22925975521337399</c:v>
              </c:pt>
              <c:pt idx="69">
                <c:v>0.23182778443201399</c:v>
              </c:pt>
              <c:pt idx="70">
                <c:v>0.23438222075867601</c:v>
              </c:pt>
              <c:pt idx="71">
                <c:v>0.236923349516966</c:v>
              </c:pt>
              <c:pt idx="72">
                <c:v>0.239451445721273</c:v>
              </c:pt>
              <c:pt idx="73">
                <c:v>0.241966774600164</c:v>
              </c:pt>
              <c:pt idx="74">
                <c:v>0.24446959208579799</c:v>
              </c:pt>
              <c:pt idx="75">
                <c:v>0.24696014527202001</c:v>
              </c:pt>
              <c:pt idx="76">
                <c:v>0.24943867284356899</c:v>
              </c:pt>
              <c:pt idx="77">
                <c:v>0.25190540547860302</c:v>
              </c:pt>
              <c:pt idx="78">
                <c:v>0.254360566226558</c:v>
              </c:pt>
              <c:pt idx="79">
                <c:v>0.25680437086317298</c:v>
              </c:pt>
              <c:pt idx="80">
                <c:v>0.25923702822434302</c:v>
              </c:pt>
              <c:pt idx="81">
                <c:v>0.26165874052034899</c:v>
              </c:pt>
              <c:pt idx="82">
                <c:v>0.264069703631853</c:v>
              </c:pt>
              <c:pt idx="83">
                <c:v>0.266470107388946</c:v>
              </c:pt>
              <c:pt idx="84">
                <c:v>0.26886013583442098</c:v>
              </c:pt>
              <c:pt idx="85">
                <c:v>0.27123996747236601</c:v>
              </c:pt>
              <c:pt idx="86">
                <c:v>0.27360977550305698</c:v>
              </c:pt>
              <c:pt idx="87">
                <c:v>0.27596972804507702</c:v>
              </c:pt>
              <c:pt idx="88">
                <c:v>0.27831998834550098</c:v>
              </c:pt>
              <c:pt idx="89">
                <c:v>0.28066071497892597</c:v>
              </c:pt>
              <c:pt idx="90">
                <c:v>0.28299206203606603</c:v>
              </c:pt>
              <c:pt idx="91">
                <c:v>0.28531417930257802</c:v>
              </c:pt>
              <c:pt idx="92">
                <c:v>0.28762721242873401</c:v>
              </c:pt>
              <c:pt idx="93">
                <c:v>0.28993130309050102</c:v>
              </c:pt>
              <c:pt idx="94">
                <c:v>0.29222658914257499</c:v>
              </c:pt>
              <c:pt idx="95">
                <c:v>0.29451320476383602</c:v>
              </c:pt>
              <c:pt idx="96">
                <c:v>0.29679128059569998</c:v>
              </c:pt>
              <c:pt idx="97">
                <c:v>0.29906094387377502</c:v>
              </c:pt>
              <c:pt idx="98">
                <c:v>0</c:v>
              </c:pt>
              <c:pt idx="99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E5D-D24A-8781-397B0228E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6112495"/>
        <c:axId val="1"/>
      </c:lineChart>
      <c:catAx>
        <c:axId val="1756112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6112495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68095683078525693"/>
          <c:y val="0.52696213871469655"/>
          <c:w val="0.30351236251110636"/>
          <c:h val="9.5811212221226794E-2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young height</c:v>
          </c:tx>
          <c:spPr>
            <a:ln w="38100" cmpd="sng">
              <a:solidFill>
                <a:srgbClr val="666699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Species!$N$45:$N$144</c:f>
              <c:numCache>
                <c:formatCode>General</c:formatCode>
                <c:ptCount val="100"/>
                <c:pt idx="0">
                  <c:v>5.7842341374131516E-2</c:v>
                </c:pt>
                <c:pt idx="1">
                  <c:v>0.18126743050040195</c:v>
                </c:pt>
                <c:pt idx="2">
                  <c:v>0.6547010914390502</c:v>
                </c:pt>
                <c:pt idx="3">
                  <c:v>1.3841203694175213</c:v>
                </c:pt>
                <c:pt idx="4">
                  <c:v>2.2355144383049552</c:v>
                </c:pt>
                <c:pt idx="5">
                  <c:v>3.1319441163580799</c:v>
                </c:pt>
                <c:pt idx="6">
                  <c:v>4.0405984204672594</c:v>
                </c:pt>
                <c:pt idx="7">
                  <c:v>4.9479366850865159</c:v>
                </c:pt>
                <c:pt idx="8">
                  <c:v>5.848313078175666</c:v>
                </c:pt>
                <c:pt idx="9">
                  <c:v>6.7394486491961558</c:v>
                </c:pt>
                <c:pt idx="10">
                  <c:v>7.6205729831329991</c:v>
                </c:pt>
                <c:pt idx="11">
                  <c:v>8.4916141605412534</c:v>
                </c:pt>
                <c:pt idx="12">
                  <c:v>9.3167994792704718</c:v>
                </c:pt>
                <c:pt idx="13">
                  <c:v>10.107527488717094</c:v>
                </c:pt>
                <c:pt idx="14">
                  <c:v>10.868455086492252</c:v>
                </c:pt>
                <c:pt idx="15">
                  <c:v>11.603275695044417</c:v>
                </c:pt>
                <c:pt idx="16">
                  <c:v>12.3149731767221</c:v>
                </c:pt>
                <c:pt idx="17">
                  <c:v>13.005997394050425</c:v>
                </c:pt>
                <c:pt idx="18">
                  <c:v>13.678388369578547</c:v>
                </c:pt>
                <c:pt idx="19">
                  <c:v>14.333866007261284</c:v>
                </c:pt>
                <c:pt idx="20">
                  <c:v>14.973896228286906</c:v>
                </c:pt>
                <c:pt idx="21">
                  <c:v>15.599740609784188</c:v>
                </c:pt>
                <c:pt idx="22">
                  <c:v>16.212494255269611</c:v>
                </c:pt>
                <c:pt idx="23">
                  <c:v>16.813115116852071</c:v>
                </c:pt>
                <c:pt idx="24">
                  <c:v>17.402447004447595</c:v>
                </c:pt>
                <c:pt idx="25">
                  <c:v>17.981237861670675</c:v>
                </c:pt>
                <c:pt idx="26">
                  <c:v>18.550154443360864</c:v>
                </c:pt>
                <c:pt idx="27">
                  <c:v>19.109794222699751</c:v>
                </c:pt>
                <c:pt idx="28">
                  <c:v>19.660695140444883</c:v>
                </c:pt>
                <c:pt idx="29">
                  <c:v>20.203343655330972</c:v>
                </c:pt>
                <c:pt idx="30">
                  <c:v>20.738181443801256</c:v>
                </c:pt>
                <c:pt idx="31">
                  <c:v>21.265611016064124</c:v>
                </c:pt>
                <c:pt idx="32">
                  <c:v>21.786000455333262</c:v>
                </c:pt>
                <c:pt idx="33">
                  <c:v>22.299687442049489</c:v>
                </c:pt>
                <c:pt idx="34">
                  <c:v>22.806982690764112</c:v>
                </c:pt>
                <c:pt idx="35">
                  <c:v>23.308172901275153</c:v>
                </c:pt>
                <c:pt idx="36">
                  <c:v>23.803523305476293</c:v>
                </c:pt>
                <c:pt idx="37">
                  <c:v>24.293279875711054</c:v>
                </c:pt>
                <c:pt idx="38">
                  <c:v>24.77767124813067</c:v>
                </c:pt>
                <c:pt idx="39">
                  <c:v>25.256910404837296</c:v>
                </c:pt>
                <c:pt idx="40">
                  <c:v>25.731196150856466</c:v>
                </c:pt>
                <c:pt idx="41">
                  <c:v>26.20071441578169</c:v>
                </c:pt>
                <c:pt idx="42">
                  <c:v>26.665639404932108</c:v>
                </c:pt>
                <c:pt idx="43">
                  <c:v>27.126134620804848</c:v>
                </c:pt>
                <c:pt idx="44">
                  <c:v>27.582353772292144</c:v>
                </c:pt>
                <c:pt idx="45">
                  <c:v>28.034441586415021</c:v>
                </c:pt>
                <c:pt idx="46">
                  <c:v>28.482534535085293</c:v>
                </c:pt>
                <c:pt idx="47">
                  <c:v>28.926761487549708</c:v>
                </c:pt>
                <c:pt idx="48">
                  <c:v>29.367244297625163</c:v>
                </c:pt>
                <c:pt idx="49">
                  <c:v>29.804098333540658</c:v>
                </c:pt>
                <c:pt idx="50">
                  <c:v>30.237432957116852</c:v>
                </c:pt>
                <c:pt idx="51">
                  <c:v>30.667351958098948</c:v>
                </c:pt>
                <c:pt idx="52">
                  <c:v>31.093953948684494</c:v>
                </c:pt>
                <c:pt idx="53">
                  <c:v>31.517332722630144</c:v>
                </c:pt>
                <c:pt idx="54">
                  <c:v>31.937577582760952</c:v>
                </c:pt>
                <c:pt idx="55">
                  <c:v>32.354773640226384</c:v>
                </c:pt>
                <c:pt idx="56">
                  <c:v>32.769002088436004</c:v>
                </c:pt>
                <c:pt idx="57">
                  <c:v>33.180340454254306</c:v>
                </c:pt>
                <c:pt idx="58">
                  <c:v>33.588862828728047</c:v>
                </c:pt>
                <c:pt idx="59">
                  <c:v>33.99464007935542</c:v>
                </c:pt>
                <c:pt idx="60">
                  <c:v>34.397740045676898</c:v>
                </c:pt>
                <c:pt idx="61">
                  <c:v>34.798227719767901</c:v>
                </c:pt>
                <c:pt idx="62">
                  <c:v>35.196165413038564</c:v>
                </c:pt>
                <c:pt idx="63">
                  <c:v>35.591612910594456</c:v>
                </c:pt>
                <c:pt idx="64">
                  <c:v>35.984627614277215</c:v>
                </c:pt>
                <c:pt idx="65">
                  <c:v>36.375264675388124</c:v>
                </c:pt>
                <c:pt idx="66">
                  <c:v>36.763577117992355</c:v>
                </c:pt>
                <c:pt idx="67">
                  <c:v>37.149615953612233</c:v>
                </c:pt>
                <c:pt idx="68">
                  <c:v>37.533430288035561</c:v>
                </c:pt>
                <c:pt idx="69">
                  <c:v>37.915067420894594</c:v>
                </c:pt>
                <c:pt idx="70">
                  <c:v>38.294572938606926</c:v>
                </c:pt>
                <c:pt idx="71">
                  <c:v>38.671990801213646</c:v>
                </c:pt>
                <c:pt idx="72">
                  <c:v>39.047363423599215</c:v>
                </c:pt>
                <c:pt idx="73">
                  <c:v>39.420731751533182</c:v>
                </c:pt>
                <c:pt idx="74">
                  <c:v>39.792135332932922</c:v>
                </c:pt>
                <c:pt idx="75">
                  <c:v>40.161612384711134</c:v>
                </c:pt>
                <c:pt idx="76">
                  <c:v>40.529199855539218</c:v>
                </c:pt>
                <c:pt idx="77">
                  <c:v>40.894933484828655</c:v>
                </c:pt>
                <c:pt idx="78">
                  <c:v>41.258847858206693</c:v>
                </c:pt>
                <c:pt idx="79">
                  <c:v>41.620976459738195</c:v>
                </c:pt>
                <c:pt idx="80">
                  <c:v>41.981351721125634</c:v>
                </c:pt>
                <c:pt idx="81">
                  <c:v>42.340005068098385</c:v>
                </c:pt>
                <c:pt idx="82">
                  <c:v>42.696966964186764</c:v>
                </c:pt>
                <c:pt idx="83">
                  <c:v>43.052266952058694</c:v>
                </c:pt>
                <c:pt idx="84">
                  <c:v>43.40593369258432</c:v>
                </c:pt>
                <c:pt idx="85">
                  <c:v>43.757995001779648</c:v>
                </c:pt>
                <c:pt idx="86">
                  <c:v>44.108477885768792</c:v>
                </c:pt>
                <c:pt idx="87">
                  <c:v>44.457408573894092</c:v>
                </c:pt>
                <c:pt idx="88">
                  <c:v>44.804812550093018</c:v>
                </c:pt>
                <c:pt idx="89">
                  <c:v>45.150714582651688</c:v>
                </c:pt>
                <c:pt idx="90">
                  <c:v>45.495138752437377</c:v>
                </c:pt>
                <c:pt idx="91">
                  <c:v>45.83810847970426</c:v>
                </c:pt>
                <c:pt idx="92">
                  <c:v>46.179646549559685</c:v>
                </c:pt>
                <c:pt idx="93">
                  <c:v>46.519775136172633</c:v>
                </c:pt>
                <c:pt idx="94">
                  <c:v>46.858515825799557</c:v>
                </c:pt>
                <c:pt idx="95">
                  <c:v>47.195889638697899</c:v>
                </c:pt>
                <c:pt idx="96">
                  <c:v>47.531917049992344</c:v>
                </c:pt>
                <c:pt idx="97">
                  <c:v>47.866618009555054</c:v>
                </c:pt>
                <c:pt idx="98">
                  <c:v>48.200011960956033</c:v>
                </c:pt>
                <c:pt idx="99">
                  <c:v>48.532117859536676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2C-A140-9ED5-3708C8DCF97B}"/>
            </c:ext>
          </c:extLst>
        </c:ser>
        <c:ser>
          <c:idx val="1"/>
          <c:order val="1"/>
          <c:tx>
            <c:v>mature height</c:v>
          </c:tx>
          <c:spPr>
            <a:ln w="38100" cmpd="sng">
              <a:solidFill>
                <a:srgbClr val="993366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Species!$O$45:$O$144</c:f>
              <c:numCache>
                <c:formatCode>General</c:formatCode>
                <c:ptCount val="100"/>
                <c:pt idx="0">
                  <c:v>-34.860278347425208</c:v>
                </c:pt>
                <c:pt idx="1">
                  <c:v>-24.922682465956761</c:v>
                </c:pt>
                <c:pt idx="2">
                  <c:v>-13.750096137244199</c:v>
                </c:pt>
                <c:pt idx="3">
                  <c:v>-7.2369166359322463</c:v>
                </c:pt>
                <c:pt idx="4">
                  <c:v>-3.0660796528310357</c:v>
                </c:pt>
                <c:pt idx="5">
                  <c:v>-0.13259138210151988</c:v>
                </c:pt>
                <c:pt idx="6">
                  <c:v>2.0836367843755674</c:v>
                </c:pt>
                <c:pt idx="7">
                  <c:v>3.8460641098673101</c:v>
                </c:pt>
                <c:pt idx="8">
                  <c:v>5.3005527174054201</c:v>
                </c:pt>
                <c:pt idx="9">
                  <c:v>6.5344290153617912</c:v>
                </c:pt>
                <c:pt idx="10">
                  <c:v>7.6034279670271765</c:v>
                </c:pt>
                <c:pt idx="11">
                  <c:v>8.5450076142680267</c:v>
                </c:pt>
                <c:pt idx="12">
                  <c:v>9.3518461279241656</c:v>
                </c:pt>
                <c:pt idx="13">
                  <c:v>10.060559228736647</c:v>
                </c:pt>
                <c:pt idx="14">
                  <c:v>10.692041094572208</c:v>
                </c:pt>
                <c:pt idx="15">
                  <c:v>11.261220159948628</c:v>
                </c:pt>
                <c:pt idx="16">
                  <c:v>11.779117307110404</c:v>
                </c:pt>
                <c:pt idx="17">
                  <c:v>12.254091506914889</c:v>
                </c:pt>
                <c:pt idx="18">
                  <c:v>12.692628117216849</c:v>
                </c:pt>
                <c:pt idx="19">
                  <c:v>13.099856791703864</c:v>
                </c:pt>
                <c:pt idx="20">
                  <c:v>13.479902754728684</c:v>
                </c:pt>
                <c:pt idx="21">
                  <c:v>13.836131674795649</c:v>
                </c:pt>
                <c:pt idx="22">
                  <c:v>14.171324481039035</c:v>
                </c:pt>
                <c:pt idx="23">
                  <c:v>14.487804800951592</c:v>
                </c:pt>
                <c:pt idx="24">
                  <c:v>14.787533592221623</c:v>
                </c:pt>
                <c:pt idx="25">
                  <c:v>15.072180579288938</c:v>
                </c:pt>
                <c:pt idx="26">
                  <c:v>15.343178980719571</c:v>
                </c:pt>
                <c:pt idx="27">
                  <c:v>15.601767996219772</c:v>
                </c:pt>
                <c:pt idx="28">
                  <c:v>15.84902619007887</c:v>
                </c:pt>
                <c:pt idx="29">
                  <c:v>16.085898010249068</c:v>
                </c:pt>
                <c:pt idx="30">
                  <c:v>16.313215066207668</c:v>
                </c:pt>
                <c:pt idx="31">
                  <c:v>16.531713358759074</c:v>
                </c:pt>
                <c:pt idx="32">
                  <c:v>16.742047350180151</c:v>
                </c:pt>
                <c:pt idx="33">
                  <c:v>16.944801544055025</c:v>
                </c:pt>
                <c:pt idx="34">
                  <c:v>17.140500084629181</c:v>
                </c:pt>
                <c:pt idx="35">
                  <c:v>17.329614767952219</c:v>
                </c:pt>
                <c:pt idx="36">
                  <c:v>17.512571769468686</c:v>
                </c:pt>
                <c:pt idx="37">
                  <c:v>17.68975732674885</c:v>
                </c:pt>
                <c:pt idx="38">
                  <c:v>17.861522565896777</c:v>
                </c:pt>
                <c:pt idx="39">
                  <c:v>18.028187621697775</c:v>
                </c:pt>
                <c:pt idx="40">
                  <c:v>18.190045171799731</c:v>
                </c:pt>
                <c:pt idx="41">
                  <c:v>18.347363482010614</c:v>
                </c:pt>
                <c:pt idx="42">
                  <c:v>18.50038904155749</c:v>
                </c:pt>
                <c:pt idx="43">
                  <c:v>18.649348852724394</c:v>
                </c:pt>
                <c:pt idx="44">
                  <c:v>18.794452427795456</c:v>
                </c:pt>
                <c:pt idx="45">
                  <c:v>18.935893537020668</c:v>
                </c:pt>
                <c:pt idx="46">
                  <c:v>19.073851743897883</c:v>
                </c:pt>
                <c:pt idx="47">
                  <c:v>19.208493758045449</c:v>
                </c:pt>
                <c:pt idx="48">
                  <c:v>19.339974631034806</c:v>
                </c:pt>
                <c:pt idx="49">
                  <c:v>19.468438816533435</c:v>
                </c:pt>
                <c:pt idx="50">
                  <c:v>19.594021112800903</c:v>
                </c:pt>
                <c:pt idx="51">
                  <c:v>19.716847502845312</c:v>
                </c:pt>
                <c:pt idx="52">
                  <c:v>19.837035905275542</c:v>
                </c:pt>
                <c:pt idx="53">
                  <c:v>19.954696846989883</c:v>
                </c:pt>
                <c:pt idx="54">
                  <c:v>20.069934067254721</c:v>
                </c:pt>
                <c:pt idx="55">
                  <c:v>20.182845061393358</c:v>
                </c:pt>
                <c:pt idx="56">
                  <c:v>20.293521571179333</c:v>
                </c:pt>
                <c:pt idx="57">
                  <c:v>20.402050028076307</c:v>
                </c:pt>
                <c:pt idx="58">
                  <c:v>20.508511954656623</c:v>
                </c:pt>
                <c:pt idx="59">
                  <c:v>20.612984328841144</c:v>
                </c:pt>
                <c:pt idx="60">
                  <c:v>20.715539915013075</c:v>
                </c:pt>
                <c:pt idx="61">
                  <c:v>20.816247565552679</c:v>
                </c:pt>
                <c:pt idx="62">
                  <c:v>20.915172495904955</c:v>
                </c:pt>
                <c:pt idx="63">
                  <c:v>21.012376535917127</c:v>
                </c:pt>
                <c:pt idx="64">
                  <c:v>21.107918359858601</c:v>
                </c:pt>
                <c:pt idx="65">
                  <c:v>21.201853697254883</c:v>
                </c:pt>
                <c:pt idx="66">
                  <c:v>21.294235526422376</c:v>
                </c:pt>
                <c:pt idx="67">
                  <c:v>21.385114252378486</c:v>
                </c:pt>
                <c:pt idx="68">
                  <c:v>21.474537870615116</c:v>
                </c:pt>
                <c:pt idx="69">
                  <c:v>21.562552118061397</c:v>
                </c:pt>
                <c:pt idx="70">
                  <c:v>21.649200612418429</c:v>
                </c:pt>
                <c:pt idx="71">
                  <c:v>21.734524980923677</c:v>
                </c:pt>
                <c:pt idx="72">
                  <c:v>21.818564979492034</c:v>
                </c:pt>
                <c:pt idx="73">
                  <c:v>21.901358603083231</c:v>
                </c:pt>
                <c:pt idx="74">
                  <c:v>21.982942188058953</c:v>
                </c:pt>
                <c:pt idx="75">
                  <c:v>22.063350507216775</c:v>
                </c:pt>
                <c:pt idx="76">
                  <c:v>22.142616858120316</c:v>
                </c:pt>
                <c:pt idx="77">
                  <c:v>22.220773145284642</c:v>
                </c:pt>
                <c:pt idx="78">
                  <c:v>22.297849956722573</c:v>
                </c:pt>
                <c:pt idx="79">
                  <c:v>22.373876635309351</c:v>
                </c:pt>
                <c:pt idx="80">
                  <c:v>22.448881345380901</c:v>
                </c:pt>
                <c:pt idx="81">
                  <c:v>22.522891134942078</c:v>
                </c:pt>
                <c:pt idx="82">
                  <c:v>22.595931993827691</c:v>
                </c:pt>
                <c:pt idx="83">
                  <c:v>22.66802890812767</c:v>
                </c:pt>
                <c:pt idx="84">
                  <c:v>22.73920591116077</c:v>
                </c:pt>
                <c:pt idx="85">
                  <c:v>22.80948613125576</c:v>
                </c:pt>
                <c:pt idx="86">
                  <c:v>22.878891836576997</c:v>
                </c:pt>
                <c:pt idx="87">
                  <c:v>22.947444477210983</c:v>
                </c:pt>
                <c:pt idx="88">
                  <c:v>23.015164724712065</c:v>
                </c:pt>
                <c:pt idx="89">
                  <c:v>23.082072509289144</c:v>
                </c:pt>
                <c:pt idx="90">
                  <c:v>23.148187054800044</c:v>
                </c:pt>
                <c:pt idx="91">
                  <c:v>23.213526911706872</c:v>
                </c:pt>
                <c:pt idx="92">
                  <c:v>23.278109988133036</c:v>
                </c:pt>
                <c:pt idx="93">
                  <c:v>23.341953579151671</c:v>
                </c:pt>
                <c:pt idx="94">
                  <c:v>23.405074394424876</c:v>
                </c:pt>
                <c:pt idx="95">
                  <c:v>23.467488584303858</c:v>
                </c:pt>
                <c:pt idx="96">
                  <c:v>23.529211764491631</c:v>
                </c:pt>
                <c:pt idx="97">
                  <c:v>23.590259039362213</c:v>
                </c:pt>
                <c:pt idx="98">
                  <c:v>23.65064502402311</c:v>
                </c:pt>
                <c:pt idx="99">
                  <c:v>23.710383865201457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2C-A140-9ED5-3708C8DCF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6047775"/>
        <c:axId val="1"/>
      </c:lineChart>
      <c:catAx>
        <c:axId val="1756047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in val="-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6047775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69382255997070141"/>
          <c:y val="0.43263919137767354"/>
          <c:w val="0.29458402002075323"/>
          <c:h val="0.22695817278159386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mpd="sng">
              <a:solidFill>
                <a:srgbClr val="666699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Species!$M$45:$M$144</c:f>
              <c:numCache>
                <c:formatCode>General</c:formatCode>
                <c:ptCount val="100"/>
                <c:pt idx="0">
                  <c:v>2.673E-5</c:v>
                </c:pt>
                <c:pt idx="1">
                  <c:v>5.6216361116833834E-4</c:v>
                </c:pt>
                <c:pt idx="2">
                  <c:v>1.7263340127424774E-2</c:v>
                </c:pt>
                <c:pt idx="3">
                  <c:v>0.12709845774847731</c:v>
                </c:pt>
                <c:pt idx="4">
                  <c:v>0.4564045147586091</c:v>
                </c:pt>
                <c:pt idx="5">
                  <c:v>1.1216240997547731</c:v>
                </c:pt>
                <c:pt idx="6">
                  <c:v>2.2124076934829331</c:v>
                </c:pt>
                <c:pt idx="7">
                  <c:v>3.7972950560817695</c:v>
                </c:pt>
                <c:pt idx="8">
                  <c:v>5.930504283458168</c:v>
                </c:pt>
                <c:pt idx="9">
                  <c:v>8.6564861191706033</c:v>
                </c:pt>
                <c:pt idx="10">
                  <c:v>12.012783737934397</c:v>
                </c:pt>
                <c:pt idx="11">
                  <c:v>16.031863051469955</c:v>
                </c:pt>
                <c:pt idx="12">
                  <c:v>20.529954336107089</c:v>
                </c:pt>
                <c:pt idx="13">
                  <c:v>25.511136338596067</c:v>
                </c:pt>
                <c:pt idx="14">
                  <c:v>30.959278247086445</c:v>
                </c:pt>
                <c:pt idx="15">
                  <c:v>36.860250648219456</c:v>
                </c:pt>
                <c:pt idx="16">
                  <c:v>43.201541298105333</c:v>
                </c:pt>
                <c:pt idx="17">
                  <c:v>49.97196431334892</c:v>
                </c:pt>
                <c:pt idx="18">
                  <c:v>57.161436631274967</c:v>
                </c:pt>
                <c:pt idx="19">
                  <c:v>64.760803488446442</c:v>
                </c:pt>
                <c:pt idx="20">
                  <c:v>72.761700153543842</c:v>
                </c:pt>
                <c:pt idx="21">
                  <c:v>81.156440890019894</c:v>
                </c:pt>
                <c:pt idx="22">
                  <c:v>89.937928677195231</c:v>
                </c:pt>
                <c:pt idx="23">
                  <c:v>99.09958097956563</c:v>
                </c:pt>
                <c:pt idx="24">
                  <c:v>108.6352680851124</c:v>
                </c:pt>
                <c:pt idx="25">
                  <c:v>118.53926140633141</c:v>
                </c:pt>
                <c:pt idx="26">
                  <c:v>128.80618976564071</c:v>
                </c:pt>
                <c:pt idx="27">
                  <c:v>139.43100214485636</c:v>
                </c:pt>
                <c:pt idx="28">
                  <c:v>150.40893571695369</c:v>
                </c:pt>
                <c:pt idx="29">
                  <c:v>161.73548823166479</c:v>
                </c:pt>
                <c:pt idx="30">
                  <c:v>173.40639401826172</c:v>
                </c:pt>
                <c:pt idx="31">
                  <c:v>185.41760301567609</c:v>
                </c:pt>
                <c:pt idx="32">
                  <c:v>197.76526235361482</c:v>
                </c:pt>
                <c:pt idx="33">
                  <c:v>210.44570009693811</c:v>
                </c:pt>
                <c:pt idx="34">
                  <c:v>223.45541083534806</c:v>
                </c:pt>
                <c:pt idx="35">
                  <c:v>236.79104285585518</c:v>
                </c:pt>
                <c:pt idx="36">
                  <c:v>250.44938667984488</c:v>
                </c:pt>
                <c:pt idx="37">
                  <c:v>264.42736478232564</c:v>
                </c:pt>
                <c:pt idx="38">
                  <c:v>278.72202233997177</c:v>
                </c:pt>
                <c:pt idx="39">
                  <c:v>293.33051887829163</c:v>
                </c:pt>
                <c:pt idx="40">
                  <c:v>308.25012070775119</c:v>
                </c:pt>
                <c:pt idx="41">
                  <c:v>323.47819405480442</c:v>
                </c:pt>
                <c:pt idx="42">
                  <c:v>339.01219880718105</c:v>
                </c:pt>
                <c:pt idx="43">
                  <c:v>354.84968280398243</c:v>
                </c:pt>
                <c:pt idx="44">
                  <c:v>370.98827661053616</c:v>
                </c:pt>
                <c:pt idx="45">
                  <c:v>387.4256887258918</c:v>
                </c:pt>
                <c:pt idx="46">
                  <c:v>404.15970117755904</c:v>
                </c:pt>
                <c:pt idx="47">
                  <c:v>421.18816546380668</c:v>
                </c:pt>
                <c:pt idx="48">
                  <c:v>438.50899880872259</c:v>
                </c:pt>
                <c:pt idx="49">
                  <c:v>456.12018069942212</c:v>
                </c:pt>
                <c:pt idx="50">
                  <c:v>474.0197496783947</c:v>
                </c:pt>
                <c:pt idx="51">
                  <c:v>492.20580036708867</c:v>
                </c:pt>
                <c:pt idx="52">
                  <c:v>510.67648069952895</c:v>
                </c:pt>
                <c:pt idx="53">
                  <c:v>529.42998934710408</c:v>
                </c:pt>
                <c:pt idx="54">
                  <c:v>548.4645733177008</c:v>
                </c:pt>
                <c:pt idx="55">
                  <c:v>567.77852571414735</c:v>
                </c:pt>
                <c:pt idx="56">
                  <c:v>587.37018363849245</c:v>
                </c:pt>
                <c:pt idx="57">
                  <c:v>607.23792623002134</c:v>
                </c:pt>
                <c:pt idx="58">
                  <c:v>627.38017282612077</c:v>
                </c:pt>
                <c:pt idx="59">
                  <c:v>647.79538123617658</c:v>
                </c:pt>
                <c:pt idx="60">
                  <c:v>668.48204611963399</c:v>
                </c:pt>
                <c:pt idx="61">
                  <c:v>689.43869746019266</c:v>
                </c:pt>
                <c:pt idx="62">
                  <c:v>710.66389912885575</c:v>
                </c:pt>
                <c:pt idx="63">
                  <c:v>732.15624752921951</c:v>
                </c:pt>
                <c:pt idx="64">
                  <c:v>753.91437031898545</c:v>
                </c:pt>
                <c:pt idx="65">
                  <c:v>775.93692520220975</c:v>
                </c:pt>
                <c:pt idx="66">
                  <c:v>798.22259878728198</c:v>
                </c:pt>
                <c:pt idx="67">
                  <c:v>820.77010550605644</c:v>
                </c:pt>
                <c:pt idx="68">
                  <c:v>843.57818658994222</c:v>
                </c:pt>
                <c:pt idx="69">
                  <c:v>866.64560909910949</c:v>
                </c:pt>
                <c:pt idx="70">
                  <c:v>889.97116500128232</c:v>
                </c:pt>
                <c:pt idx="71">
                  <c:v>913.55367029687261</c:v>
                </c:pt>
                <c:pt idx="72">
                  <c:v>937.39196418746724</c:v>
                </c:pt>
                <c:pt idx="73">
                  <c:v>961.48490828491538</c:v>
                </c:pt>
                <c:pt idx="74">
                  <c:v>985.83138585847291</c:v>
                </c:pt>
                <c:pt idx="75">
                  <c:v>1010.4303011176562</c:v>
                </c:pt>
                <c:pt idx="76">
                  <c:v>1035.2805785286318</c:v>
                </c:pt>
                <c:pt idx="77">
                  <c:v>1060.3811621621301</c:v>
                </c:pt>
                <c:pt idx="78">
                  <c:v>1085.7310150710173</c:v>
                </c:pt>
                <c:pt idx="79">
                  <c:v>1111.329118695794</c:v>
                </c:pt>
                <c:pt idx="80">
                  <c:v>1137.1744722964113</c:v>
                </c:pt>
                <c:pt idx="81">
                  <c:v>1163.2660924089087</c:v>
                </c:pt>
                <c:pt idx="82">
                  <c:v>1189.6030123254809</c:v>
                </c:pt>
                <c:pt idx="83">
                  <c:v>1216.1842815966759</c:v>
                </c:pt>
                <c:pt idx="84">
                  <c:v>1243.0089655545121</c:v>
                </c:pt>
                <c:pt idx="85">
                  <c:v>1270.0761448553887</c:v>
                </c:pt>
                <c:pt idx="86">
                  <c:v>1297.3849150417282</c:v>
                </c:pt>
                <c:pt idx="87">
                  <c:v>1324.9343861213679</c:v>
                </c:pt>
                <c:pt idx="88">
                  <c:v>1352.7236821637755</c:v>
                </c:pt>
                <c:pt idx="89">
                  <c:v>1380.7519409122222</c:v>
                </c:pt>
                <c:pt idx="90">
                  <c:v>1409.0183134111028</c:v>
                </c:pt>
                <c:pt idx="91">
                  <c:v>1437.5219636476422</c:v>
                </c:pt>
                <c:pt idx="92">
                  <c:v>1466.2620682072734</c:v>
                </c:pt>
                <c:pt idx="93">
                  <c:v>1495.237815942015</c:v>
                </c:pt>
                <c:pt idx="94">
                  <c:v>1524.4484076512185</c:v>
                </c:pt>
                <c:pt idx="95">
                  <c:v>1553.8930557740905</c:v>
                </c:pt>
                <c:pt idx="96">
                  <c:v>1583.5709840934303</c:v>
                </c:pt>
                <c:pt idx="97">
                  <c:v>1613.4814274500575</c:v>
                </c:pt>
                <c:pt idx="98">
                  <c:v>1643.6236314674318</c:v>
                </c:pt>
                <c:pt idx="99">
                  <c:v>1673.9968522859965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AA-4D49-BBF5-E8B0F1453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6002559"/>
        <c:axId val="1"/>
      </c:lineChart>
      <c:catAx>
        <c:axId val="1756002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6002559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6494237224331022"/>
          <c:y val="0.51957066819161579"/>
          <c:w val="0.21116228001380311"/>
          <c:h val="8.9388554084370742E-2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Canopy Mass over Time</c:v>
          </c:tx>
          <c:spPr>
            <a:ln w="38100" cmpd="sng">
              <a:solidFill>
                <a:srgbClr val="666699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Species!$R$45:$R$144</c:f>
              <c:numCache>
                <c:formatCode>General</c:formatCode>
                <c:ptCount val="100"/>
                <c:pt idx="0">
                  <c:v>2.6999999999999911E-7</c:v>
                </c:pt>
                <c:pt idx="1">
                  <c:v>1.4054090279208459E-4</c:v>
                </c:pt>
                <c:pt idx="2">
                  <c:v>4.3158350318561935E-3</c:v>
                </c:pt>
                <c:pt idx="3">
                  <c:v>3.1774614437119326E-2</c:v>
                </c:pt>
                <c:pt idx="4">
                  <c:v>0.11410112868965228</c:v>
                </c:pt>
                <c:pt idx="5">
                  <c:v>0.28040602493869327</c:v>
                </c:pt>
                <c:pt idx="6">
                  <c:v>0.55310192337073327</c:v>
                </c:pt>
                <c:pt idx="7">
                  <c:v>0.94932376402044238</c:v>
                </c:pt>
                <c:pt idx="8">
                  <c:v>1.482626070864542</c:v>
                </c:pt>
                <c:pt idx="9">
                  <c:v>2.1641215297926508</c:v>
                </c:pt>
                <c:pt idx="10">
                  <c:v>3.0031959344835992</c:v>
                </c:pt>
                <c:pt idx="11">
                  <c:v>3.6854950092991308</c:v>
                </c:pt>
                <c:pt idx="12">
                  <c:v>4.4365851296655423</c:v>
                </c:pt>
                <c:pt idx="13">
                  <c:v>5.2216190544643313</c:v>
                </c:pt>
                <c:pt idx="14">
                  <c:v>6.0374139272073002</c:v>
                </c:pt>
                <c:pt idx="15">
                  <c:v>6.8813959059328793</c:v>
                </c:pt>
                <c:pt idx="16">
                  <c:v>7.7514377331063358</c:v>
                </c:pt>
                <c:pt idx="17">
                  <c:v>8.6457494864957063</c:v>
                </c:pt>
                <c:pt idx="18">
                  <c:v>9.5628024287722226</c:v>
                </c:pt>
                <c:pt idx="19">
                  <c:v>10.501274307610604</c:v>
                </c:pt>
                <c:pt idx="20">
                  <c:v>11.460009044170247</c:v>
                </c:pt>
                <c:pt idx="21">
                  <c:v>12.437986362508108</c:v>
                </c:pt>
                <c:pt idx="22">
                  <c:v>13.434298465498784</c:v>
                </c:pt>
                <c:pt idx="23">
                  <c:v>14.448131818773227</c:v>
                </c:pt>
                <c:pt idx="24">
                  <c:v>15.478752711288813</c:v>
                </c:pt>
                <c:pt idx="25">
                  <c:v>16.525495657496709</c:v>
                </c:pt>
                <c:pt idx="26">
                  <c:v>17.587753971263197</c:v>
                </c:pt>
                <c:pt idx="27">
                  <c:v>18.664972023067474</c:v>
                </c:pt>
                <c:pt idx="28">
                  <c:v>19.756638818504005</c:v>
                </c:pt>
                <c:pt idx="29">
                  <c:v>20.862282625942782</c:v>
                </c:pt>
                <c:pt idx="30">
                  <c:v>21.981466446018946</c:v>
                </c:pt>
                <c:pt idx="31">
                  <c:v>23.113784163090227</c:v>
                </c:pt>
                <c:pt idx="32">
                  <c:v>24.258857254033259</c:v>
                </c:pt>
                <c:pt idx="33">
                  <c:v>25.4163319562251</c:v>
                </c:pt>
                <c:pt idx="34">
                  <c:v>26.585876816681605</c:v>
                </c:pt>
                <c:pt idx="35">
                  <c:v>27.767180559782137</c:v>
                </c:pt>
                <c:pt idx="36">
                  <c:v>28.959950223000266</c:v>
                </c:pt>
                <c:pt idx="37">
                  <c:v>30.163909519447643</c:v>
                </c:pt>
                <c:pt idx="38">
                  <c:v>31.378797393444774</c:v>
                </c:pt>
                <c:pt idx="39">
                  <c:v>32.604366741230031</c:v>
                </c:pt>
                <c:pt idx="40">
                  <c:v>33.840383273641265</c:v>
                </c:pt>
                <c:pt idx="41">
                  <c:v>35.086624501420154</c:v>
                </c:pt>
                <c:pt idx="42">
                  <c:v>36.34287882688659</c:v>
                </c:pt>
                <c:pt idx="43">
                  <c:v>37.60894472826363</c:v>
                </c:pt>
                <c:pt idx="44">
                  <c:v>38.884630025016023</c:v>
                </c:pt>
                <c:pt idx="45">
                  <c:v>40.169751214285945</c:v>
                </c:pt>
                <c:pt idx="46">
                  <c:v>41.464132869941125</c:v>
                </c:pt>
                <c:pt idx="47">
                  <c:v>42.767607096943443</c:v>
                </c:pt>
                <c:pt idx="48">
                  <c:v>44.080013034749221</c:v>
                </c:pt>
                <c:pt idx="49">
                  <c:v>45.401196404296229</c:v>
                </c:pt>
                <c:pt idx="50">
                  <c:v>46.731009093846978</c:v>
                </c:pt>
                <c:pt idx="51">
                  <c:v>48.069308779564565</c:v>
                </c:pt>
                <c:pt idx="52">
                  <c:v>49.41595857721552</c:v>
                </c:pt>
                <c:pt idx="53">
                  <c:v>50.770826721836407</c:v>
                </c:pt>
                <c:pt idx="54">
                  <c:v>52.133786272582505</c:v>
                </c:pt>
                <c:pt idx="55">
                  <c:v>53.504714840303599</c:v>
                </c:pt>
                <c:pt idx="56">
                  <c:v>54.88349433567609</c:v>
                </c:pt>
                <c:pt idx="57">
                  <c:v>56.27001073596707</c:v>
                </c:pt>
                <c:pt idx="58">
                  <c:v>57.66415386871892</c:v>
                </c:pt>
                <c:pt idx="59">
                  <c:v>59.065817210829152</c:v>
                </c:pt>
                <c:pt idx="60">
                  <c:v>60.474897701664844</c:v>
                </c:pt>
                <c:pt idx="61">
                  <c:v>61.891295568993186</c:v>
                </c:pt>
                <c:pt idx="62">
                  <c:v>63.314914166634139</c:v>
                </c:pt>
                <c:pt idx="63">
                  <c:v>64.74565982285479</c:v>
                </c:pt>
                <c:pt idx="64">
                  <c:v>66.183441698619234</c:v>
                </c:pt>
                <c:pt idx="65">
                  <c:v>67.628171654898665</c:v>
                </c:pt>
                <c:pt idx="66">
                  <c:v>69.079764128318104</c:v>
                </c:pt>
                <c:pt idx="67">
                  <c:v>70.538136014489439</c:v>
                </c:pt>
                <c:pt idx="68">
                  <c:v>72.003206558437711</c:v>
                </c:pt>
                <c:pt idx="69">
                  <c:v>73.47489725158357</c:v>
                </c:pt>
                <c:pt idx="70">
                  <c:v>74.953131734792393</c:v>
                </c:pt>
                <c:pt idx="71">
                  <c:v>76.437835707045608</c:v>
                </c:pt>
                <c:pt idx="72">
                  <c:v>77.928936839325715</c:v>
                </c:pt>
                <c:pt idx="73">
                  <c:v>79.426364693346102</c:v>
                </c:pt>
                <c:pt idx="74">
                  <c:v>80.930050644782938</c:v>
                </c:pt>
                <c:pt idx="75">
                  <c:v>82.439927810700041</c:v>
                </c:pt>
                <c:pt idx="76">
                  <c:v>83.955930980878946</c:v>
                </c:pt>
                <c:pt idx="77">
                  <c:v>85.477996552793087</c:v>
                </c:pt>
                <c:pt idx="78">
                  <c:v>87.006062469984172</c:v>
                </c:pt>
                <c:pt idx="79">
                  <c:v>88.540068163617491</c:v>
                </c:pt>
                <c:pt idx="80">
                  <c:v>90.079954497012736</c:v>
                </c:pt>
                <c:pt idx="81">
                  <c:v>91.625663712959422</c:v>
                </c:pt>
                <c:pt idx="82">
                  <c:v>93.177139383643762</c:v>
                </c:pt>
                <c:pt idx="83">
                  <c:v>94.734326363023285</c:v>
                </c:pt>
                <c:pt idx="84">
                  <c:v>96.297170741501375</c:v>
                </c:pt>
                <c:pt idx="85">
                  <c:v>97.865619802761728</c:v>
                </c:pt>
                <c:pt idx="86">
                  <c:v>99.439621982633696</c:v>
                </c:pt>
                <c:pt idx="87">
                  <c:v>101.01912682987</c:v>
                </c:pt>
                <c:pt idx="88">
                  <c:v>102.60408496872527</c:v>
                </c:pt>
                <c:pt idx="89">
                  <c:v>104.19444806323057</c:v>
                </c:pt>
                <c:pt idx="90">
                  <c:v>105.79016878306926</c:v>
                </c:pt>
                <c:pt idx="91">
                  <c:v>107.39120077096472</c:v>
                </c:pt>
                <c:pt idx="92">
                  <c:v>108.99749861149327</c:v>
                </c:pt>
                <c:pt idx="93">
                  <c:v>110.6090178012478</c:v>
                </c:pt>
                <c:pt idx="94">
                  <c:v>112.22571472027617</c:v>
                </c:pt>
                <c:pt idx="95">
                  <c:v>113.84754660472778</c:v>
                </c:pt>
                <c:pt idx="96">
                  <c:v>115.47447152064251</c:v>
                </c:pt>
                <c:pt idx="97">
                  <c:v>117.10644833882489</c:v>
                </c:pt>
                <c:pt idx="98">
                  <c:v>118.74343671074449</c:v>
                </c:pt>
                <c:pt idx="99">
                  <c:v>120.38539704541124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4D-3C46-A476-2AC034F18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6165119"/>
        <c:axId val="1"/>
      </c:lineChart>
      <c:catAx>
        <c:axId val="1756165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6165119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63202015748031504"/>
          <c:y val="0.51774892500139613"/>
          <c:w val="0.35601133858267719"/>
          <c:h val="0.18440386441056578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DBH over Time</c:v>
          </c:tx>
          <c:spPr>
            <a:ln w="38100" cmpd="sng">
              <a:solidFill>
                <a:srgbClr val="666699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Species!$S$45:$S$144</c:f>
              <c:numCache>
                <c:formatCode>General</c:formatCode>
                <c:ptCount val="100"/>
                <c:pt idx="0">
                  <c:v>5.7842341374131519E-4</c:v>
                </c:pt>
                <c:pt idx="1">
                  <c:v>1.8126743050040194E-3</c:v>
                </c:pt>
                <c:pt idx="2">
                  <c:v>6.5470109143905024E-3</c:v>
                </c:pt>
                <c:pt idx="3">
                  <c:v>1.3841203694175212E-2</c:v>
                </c:pt>
                <c:pt idx="4">
                  <c:v>2.2355144383049554E-2</c:v>
                </c:pt>
                <c:pt idx="5">
                  <c:v>3.1319441163580798E-2</c:v>
                </c:pt>
                <c:pt idx="6">
                  <c:v>4.040598420467259E-2</c:v>
                </c:pt>
                <c:pt idx="7">
                  <c:v>4.947936685086516E-2</c:v>
                </c:pt>
                <c:pt idx="8">
                  <c:v>5.8483130781756661E-2</c:v>
                </c:pt>
                <c:pt idx="9">
                  <c:v>6.7394486491961558E-2</c:v>
                </c:pt>
                <c:pt idx="10">
                  <c:v>7.6205729831329991E-2</c:v>
                </c:pt>
                <c:pt idx="11">
                  <c:v>8.4916141605412526E-2</c:v>
                </c:pt>
                <c:pt idx="12">
                  <c:v>9.3167994792704711E-2</c:v>
                </c:pt>
                <c:pt idx="13">
                  <c:v>0.10107527488717094</c:v>
                </c:pt>
                <c:pt idx="14">
                  <c:v>0.10868455086492253</c:v>
                </c:pt>
                <c:pt idx="15">
                  <c:v>0.11603275695044417</c:v>
                </c:pt>
                <c:pt idx="16">
                  <c:v>0.12314973176722101</c:v>
                </c:pt>
                <c:pt idx="17">
                  <c:v>0.13005997394050425</c:v>
                </c:pt>
                <c:pt idx="18">
                  <c:v>0.13678388369578548</c:v>
                </c:pt>
                <c:pt idx="19">
                  <c:v>0.14333866007261284</c:v>
                </c:pt>
                <c:pt idx="20">
                  <c:v>0.14973896228286906</c:v>
                </c:pt>
                <c:pt idx="21">
                  <c:v>0.15599740609784188</c:v>
                </c:pt>
                <c:pt idx="22">
                  <c:v>0.16212494255269611</c:v>
                </c:pt>
                <c:pt idx="23">
                  <c:v>0.1681311511685207</c:v>
                </c:pt>
                <c:pt idx="24">
                  <c:v>0.17402447004447597</c:v>
                </c:pt>
                <c:pt idx="25">
                  <c:v>0.17981237861670674</c:v>
                </c:pt>
                <c:pt idx="26">
                  <c:v>0.18550154443360864</c:v>
                </c:pt>
                <c:pt idx="27">
                  <c:v>0.19109794222699752</c:v>
                </c:pt>
                <c:pt idx="28">
                  <c:v>0.19660695140444884</c:v>
                </c:pt>
                <c:pt idx="29">
                  <c:v>0.20203343655330971</c:v>
                </c:pt>
                <c:pt idx="30">
                  <c:v>0.20738181443801257</c:v>
                </c:pt>
                <c:pt idx="31">
                  <c:v>0.21265611016064123</c:v>
                </c:pt>
                <c:pt idx="32">
                  <c:v>0.21786000455333263</c:v>
                </c:pt>
                <c:pt idx="33">
                  <c:v>0.2229968744204949</c:v>
                </c:pt>
                <c:pt idx="34">
                  <c:v>0.22806982690764113</c:v>
                </c:pt>
                <c:pt idx="35">
                  <c:v>0.23308172901275154</c:v>
                </c:pt>
                <c:pt idx="36">
                  <c:v>0.23803523305476293</c:v>
                </c:pt>
                <c:pt idx="37">
                  <c:v>0.24293279875711055</c:v>
                </c:pt>
                <c:pt idx="38">
                  <c:v>0.2477767124813067</c:v>
                </c:pt>
                <c:pt idx="39">
                  <c:v>0.25256910404837296</c:v>
                </c:pt>
                <c:pt idx="40">
                  <c:v>0.25731196150856467</c:v>
                </c:pt>
                <c:pt idx="41">
                  <c:v>0.2620071441578169</c:v>
                </c:pt>
                <c:pt idx="42">
                  <c:v>0.26665639404932107</c:v>
                </c:pt>
                <c:pt idx="43">
                  <c:v>0.27126134620804848</c:v>
                </c:pt>
                <c:pt idx="44">
                  <c:v>0.27582353772292145</c:v>
                </c:pt>
                <c:pt idx="45">
                  <c:v>0.28034441586415021</c:v>
                </c:pt>
                <c:pt idx="46">
                  <c:v>0.28482534535085291</c:v>
                </c:pt>
                <c:pt idx="47">
                  <c:v>0.28926761487549707</c:v>
                </c:pt>
                <c:pt idx="48">
                  <c:v>0.29367244297625161</c:v>
                </c:pt>
                <c:pt idx="49">
                  <c:v>0.29804098333540657</c:v>
                </c:pt>
                <c:pt idx="50">
                  <c:v>0.3023743295711685</c:v>
                </c:pt>
                <c:pt idx="51">
                  <c:v>0.30667351958098948</c:v>
                </c:pt>
                <c:pt idx="52">
                  <c:v>0.31093953948684494</c:v>
                </c:pt>
                <c:pt idx="53">
                  <c:v>0.31517332722630143</c:v>
                </c:pt>
                <c:pt idx="54">
                  <c:v>0.31937577582760951</c:v>
                </c:pt>
                <c:pt idx="55">
                  <c:v>0.32354773640226381</c:v>
                </c:pt>
                <c:pt idx="56">
                  <c:v>0.32769002088436006</c:v>
                </c:pt>
                <c:pt idx="57">
                  <c:v>0.33180340454254309</c:v>
                </c:pt>
                <c:pt idx="58">
                  <c:v>0.3358886282872805</c:v>
                </c:pt>
                <c:pt idx="59">
                  <c:v>0.3399464007935542</c:v>
                </c:pt>
                <c:pt idx="60">
                  <c:v>0.343977400456769</c:v>
                </c:pt>
                <c:pt idx="61">
                  <c:v>0.34798227719767899</c:v>
                </c:pt>
                <c:pt idx="62">
                  <c:v>0.35196165413038566</c:v>
                </c:pt>
                <c:pt idx="63">
                  <c:v>0.35591612910594456</c:v>
                </c:pt>
                <c:pt idx="64">
                  <c:v>0.35984627614277215</c:v>
                </c:pt>
                <c:pt idx="65">
                  <c:v>0.36375264675388125</c:v>
                </c:pt>
                <c:pt idx="66">
                  <c:v>0.36763577117992358</c:v>
                </c:pt>
                <c:pt idx="67">
                  <c:v>0.37149615953612231</c:v>
                </c:pt>
                <c:pt idx="68">
                  <c:v>0.37533430288035557</c:v>
                </c:pt>
                <c:pt idx="69">
                  <c:v>0.37915067420894594</c:v>
                </c:pt>
                <c:pt idx="70">
                  <c:v>0.38294572938606924</c:v>
                </c:pt>
                <c:pt idx="71">
                  <c:v>0.38671990801213646</c:v>
                </c:pt>
                <c:pt idx="72">
                  <c:v>0.39047363423599213</c:v>
                </c:pt>
                <c:pt idx="73">
                  <c:v>0.39420731751533183</c:v>
                </c:pt>
                <c:pt idx="74">
                  <c:v>0.39792135332932921</c:v>
                </c:pt>
                <c:pt idx="75">
                  <c:v>0.40161612384711137</c:v>
                </c:pt>
                <c:pt idx="76">
                  <c:v>0.40529199855539216</c:v>
                </c:pt>
                <c:pt idx="77">
                  <c:v>0.40894933484828655</c:v>
                </c:pt>
                <c:pt idx="78">
                  <c:v>0.41258847858206693</c:v>
                </c:pt>
                <c:pt idx="79">
                  <c:v>0.41620976459738196</c:v>
                </c:pt>
                <c:pt idx="80">
                  <c:v>0.41981351721125632</c:v>
                </c:pt>
                <c:pt idx="81">
                  <c:v>0.42340005068098385</c:v>
                </c:pt>
                <c:pt idx="82">
                  <c:v>0.42696966964186767</c:v>
                </c:pt>
                <c:pt idx="83">
                  <c:v>0.43052266952058693</c:v>
                </c:pt>
                <c:pt idx="84">
                  <c:v>0.4340593369258432</c:v>
                </c:pt>
                <c:pt idx="85">
                  <c:v>0.43757995001779648</c:v>
                </c:pt>
                <c:pt idx="86">
                  <c:v>0.44108477885768793</c:v>
                </c:pt>
                <c:pt idx="87">
                  <c:v>0.44457408573894092</c:v>
                </c:pt>
                <c:pt idx="88">
                  <c:v>0.44804812550093015</c:v>
                </c:pt>
                <c:pt idx="89">
                  <c:v>0.45150714582651691</c:v>
                </c:pt>
                <c:pt idx="90">
                  <c:v>0.45495138752437375</c:v>
                </c:pt>
                <c:pt idx="91">
                  <c:v>0.45838108479704259</c:v>
                </c:pt>
                <c:pt idx="92">
                  <c:v>0.46179646549559683</c:v>
                </c:pt>
                <c:pt idx="93">
                  <c:v>0.46519775136172631</c:v>
                </c:pt>
                <c:pt idx="94">
                  <c:v>0.46858515825799557</c:v>
                </c:pt>
                <c:pt idx="95">
                  <c:v>0.47195889638697897</c:v>
                </c:pt>
                <c:pt idx="96">
                  <c:v>0.47531917049992345</c:v>
                </c:pt>
                <c:pt idx="97">
                  <c:v>0.47866618009555056</c:v>
                </c:pt>
                <c:pt idx="98">
                  <c:v>0.4820001196095603</c:v>
                </c:pt>
                <c:pt idx="99">
                  <c:v>0.48532117859536678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DE-7C4D-982D-0EC52EEC6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748640"/>
        <c:axId val="1"/>
      </c:lineChart>
      <c:catAx>
        <c:axId val="423748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3748640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68095683078525693"/>
          <c:y val="0.53074429243830556"/>
          <c:w val="0.30351236251110636"/>
          <c:h val="8.9388554084370742E-2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Growth/yr over Time</c:v>
          </c:tx>
          <c:spPr>
            <a:ln w="38100" cmpd="sng">
              <a:solidFill>
                <a:srgbClr val="666699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Species!$K$45:$K$144</c:f>
              <c:numCache>
                <c:formatCode>General</c:formatCode>
                <c:ptCount val="100"/>
                <c:pt idx="0">
                  <c:v>2.6999999999999999E-5</c:v>
                </c:pt>
                <c:pt idx="1">
                  <c:v>6.6929201396042292E-4</c:v>
                </c:pt>
                <c:pt idx="2">
                  <c:v>2.0876470645320545E-2</c:v>
                </c:pt>
                <c:pt idx="3">
                  <c:v>0.13729389702631564</c:v>
                </c:pt>
                <c:pt idx="4">
                  <c:v>0.41163257126266478</c:v>
                </c:pt>
                <c:pt idx="5">
                  <c:v>0.83152448124520506</c:v>
                </c:pt>
                <c:pt idx="6">
                  <c:v>1.3634794921602</c:v>
                </c:pt>
                <c:pt idx="7">
                  <c:v>1.9811092032485451</c:v>
                </c:pt>
                <c:pt idx="8">
                  <c:v>2.6665115342204988</c:v>
                </c:pt>
                <c:pt idx="9">
                  <c:v>3.4074772946405441</c:v>
                </c:pt>
                <c:pt idx="10">
                  <c:v>4.1953720234547411</c:v>
                </c:pt>
                <c:pt idx="11">
                  <c:v>5.0238491419194471</c:v>
                </c:pt>
                <c:pt idx="12">
                  <c:v>5.6226141057964147</c:v>
                </c:pt>
                <c:pt idx="13">
                  <c:v>6.2264775031112212</c:v>
                </c:pt>
                <c:pt idx="14">
                  <c:v>6.8101773856129739</c:v>
                </c:pt>
                <c:pt idx="15">
                  <c:v>7.3762155014162625</c:v>
                </c:pt>
                <c:pt idx="16">
                  <c:v>7.926613312357345</c:v>
                </c:pt>
                <c:pt idx="17">
                  <c:v>8.4630287690544872</c:v>
                </c:pt>
                <c:pt idx="18">
                  <c:v>8.9868403974075601</c:v>
                </c:pt>
                <c:pt idx="19">
                  <c:v>9.4992085714643508</c:v>
                </c:pt>
                <c:pt idx="20">
                  <c:v>10.001120831371741</c:v>
                </c:pt>
                <c:pt idx="21">
                  <c:v>10.493425920595074</c:v>
                </c:pt>
                <c:pt idx="22">
                  <c:v>10.976859733969166</c:v>
                </c:pt>
                <c:pt idx="23">
                  <c:v>11.452065377962999</c:v>
                </c:pt>
                <c:pt idx="24">
                  <c:v>11.919608881933467</c:v>
                </c:pt>
                <c:pt idx="25">
                  <c:v>12.379991651523749</c:v>
                </c:pt>
                <c:pt idx="26">
                  <c:v>12.83366044913663</c:v>
                </c:pt>
                <c:pt idx="27">
                  <c:v>13.281015474019554</c:v>
                </c:pt>
                <c:pt idx="28">
                  <c:v>13.722416965121649</c:v>
                </c:pt>
                <c:pt idx="29">
                  <c:v>14.158190643388876</c:v>
                </c:pt>
                <c:pt idx="30">
                  <c:v>14.588632233246182</c:v>
                </c:pt>
                <c:pt idx="31">
                  <c:v>15.01401124676795</c:v>
                </c:pt>
                <c:pt idx="32">
                  <c:v>15.434574172423396</c:v>
                </c:pt>
                <c:pt idx="33">
                  <c:v>15.850547179154104</c:v>
                </c:pt>
                <c:pt idx="34">
                  <c:v>16.262138423012424</c:v>
                </c:pt>
                <c:pt idx="35">
                  <c:v>16.669540025633911</c:v>
                </c:pt>
                <c:pt idx="36">
                  <c:v>17.072929779987124</c:v>
                </c:pt>
                <c:pt idx="37">
                  <c:v>17.472472628100977</c:v>
                </c:pt>
                <c:pt idx="38">
                  <c:v>17.868321947057698</c:v>
                </c:pt>
                <c:pt idx="39">
                  <c:v>18.260620672899787</c:v>
                </c:pt>
                <c:pt idx="40">
                  <c:v>18.649502286824482</c:v>
                </c:pt>
                <c:pt idx="41">
                  <c:v>19.035091683816525</c:v>
                </c:pt>
                <c:pt idx="42">
                  <c:v>19.417505940470779</c:v>
                </c:pt>
                <c:pt idx="43">
                  <c:v>19.796854996001738</c:v>
                </c:pt>
                <c:pt idx="44">
                  <c:v>20.173242258192168</c:v>
                </c:pt>
                <c:pt idx="45">
                  <c:v>20.54676514419452</c:v>
                </c:pt>
                <c:pt idx="46">
                  <c:v>20.917515564584058</c:v>
                </c:pt>
                <c:pt idx="47">
                  <c:v>21.285580357809582</c:v>
                </c:pt>
                <c:pt idx="48">
                  <c:v>21.651041681144882</c:v>
                </c:pt>
                <c:pt idx="49">
                  <c:v>22.013977363374391</c:v>
                </c:pt>
                <c:pt idx="50">
                  <c:v>22.374461223715716</c:v>
                </c:pt>
                <c:pt idx="51">
                  <c:v>22.732563360867456</c:v>
                </c:pt>
                <c:pt idx="52">
                  <c:v>23.08835041555032</c:v>
                </c:pt>
                <c:pt idx="53">
                  <c:v>23.441885809468982</c:v>
                </c:pt>
                <c:pt idx="54">
                  <c:v>23.793229963245938</c:v>
                </c:pt>
                <c:pt idx="55">
                  <c:v>24.142440495558144</c:v>
                </c:pt>
                <c:pt idx="56">
                  <c:v>24.489572405431399</c:v>
                </c:pt>
                <c:pt idx="57">
                  <c:v>24.834678239411161</c:v>
                </c:pt>
                <c:pt idx="58">
                  <c:v>25.177808245124343</c:v>
                </c:pt>
                <c:pt idx="59">
                  <c:v>25.519010512569789</c:v>
                </c:pt>
                <c:pt idx="60">
                  <c:v>25.858331104321817</c:v>
                </c:pt>
                <c:pt idx="61">
                  <c:v>26.19581417569837</c:v>
                </c:pt>
                <c:pt idx="62">
                  <c:v>26.531502085828876</c:v>
                </c:pt>
                <c:pt idx="63">
                  <c:v>26.865435500454726</c:v>
                </c:pt>
                <c:pt idx="64">
                  <c:v>27.197653487207482</c:v>
                </c:pt>
                <c:pt idx="65">
                  <c:v>27.52819360403031</c:v>
                </c:pt>
                <c:pt idx="66">
                  <c:v>27.857091981340325</c:v>
                </c:pt>
                <c:pt idx="67">
                  <c:v>28.184383398468078</c:v>
                </c:pt>
                <c:pt idx="68">
                  <c:v>28.510101354857181</c:v>
                </c:pt>
                <c:pt idx="69">
                  <c:v>28.834278136459062</c:v>
                </c:pt>
                <c:pt idx="70">
                  <c:v>29.156944877716061</c:v>
                </c:pt>
                <c:pt idx="71">
                  <c:v>29.478131619487801</c:v>
                </c:pt>
                <c:pt idx="72">
                  <c:v>29.797867363243309</c:v>
                </c:pt>
                <c:pt idx="73">
                  <c:v>30.116180121810203</c:v>
                </c:pt>
                <c:pt idx="74">
                  <c:v>30.433096966946977</c:v>
                </c:pt>
                <c:pt idx="75">
                  <c:v>30.748644073979108</c:v>
                </c:pt>
                <c:pt idx="76">
                  <c:v>31.062846763719453</c:v>
                </c:pt>
                <c:pt idx="77">
                  <c:v>31.375729541872847</c:v>
                </c:pt>
                <c:pt idx="78">
                  <c:v>31.687316136109008</c:v>
                </c:pt>
                <c:pt idx="79">
                  <c:v>31.997629530970833</c:v>
                </c:pt>
                <c:pt idx="80">
                  <c:v>32.306692000771505</c:v>
                </c:pt>
                <c:pt idx="81">
                  <c:v>32.61452514062168</c:v>
                </c:pt>
                <c:pt idx="82">
                  <c:v>32.921149895715303</c:v>
                </c:pt>
                <c:pt idx="83">
                  <c:v>33.226586588993584</c:v>
                </c:pt>
                <c:pt idx="84">
                  <c:v>33.53085494729541</c:v>
                </c:pt>
                <c:pt idx="85">
                  <c:v>33.833974126095761</c:v>
                </c:pt>
                <c:pt idx="86">
                  <c:v>34.13596273292427</c:v>
                </c:pt>
                <c:pt idx="87">
                  <c:v>34.436838849549694</c:v>
                </c:pt>
                <c:pt idx="88">
                  <c:v>34.736620053009638</c:v>
                </c:pt>
                <c:pt idx="89">
                  <c:v>35.035323435558432</c:v>
                </c:pt>
                <c:pt idx="90">
                  <c:v>35.332965623600799</c:v>
                </c:pt>
                <c:pt idx="91">
                  <c:v>35.629562795674303</c:v>
                </c:pt>
                <c:pt idx="92">
                  <c:v>35.925130699538947</c:v>
                </c:pt>
                <c:pt idx="93">
                  <c:v>36.219684668427028</c:v>
                </c:pt>
                <c:pt idx="94">
                  <c:v>36.513239636504522</c:v>
                </c:pt>
                <c:pt idx="95">
                  <c:v>36.805810153590066</c:v>
                </c:pt>
                <c:pt idx="96">
                  <c:v>37.097410399174834</c:v>
                </c:pt>
                <c:pt idx="97">
                  <c:v>37.388054195784058</c:v>
                </c:pt>
                <c:pt idx="98">
                  <c:v>37.677755021717779</c:v>
                </c:pt>
                <c:pt idx="99">
                  <c:v>37.966526023205866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CA-7D4C-982C-D666A760D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0770895"/>
        <c:axId val="1"/>
      </c:lineChart>
      <c:catAx>
        <c:axId val="670770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70770895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66934466856981523"/>
          <c:y val="0.52484112358295643"/>
          <c:w val="0.31873545189321462"/>
          <c:h val="0.18440386441056567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Summary of Tree Height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Height</c:v>
          </c:tx>
          <c:spPr>
            <a:ln w="38100" cmpd="sng">
              <a:solidFill>
                <a:srgbClr val="666699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Species!$Q$45:$Q$144</c:f>
              <c:numCache>
                <c:formatCode>General</c:formatCode>
                <c:ptCount val="100"/>
                <c:pt idx="0">
                  <c:v>5.7842341374131516E-2</c:v>
                </c:pt>
                <c:pt idx="1">
                  <c:v>0.18126743050040195</c:v>
                </c:pt>
                <c:pt idx="2">
                  <c:v>0.6547010914390502</c:v>
                </c:pt>
                <c:pt idx="3">
                  <c:v>1.3841203694175213</c:v>
                </c:pt>
                <c:pt idx="4">
                  <c:v>2.2355144383049552</c:v>
                </c:pt>
                <c:pt idx="5">
                  <c:v>3.1319441163580799</c:v>
                </c:pt>
                <c:pt idx="6">
                  <c:v>4.0405984204672594</c:v>
                </c:pt>
                <c:pt idx="7">
                  <c:v>4.9479366850865159</c:v>
                </c:pt>
                <c:pt idx="8">
                  <c:v>5.848313078175666</c:v>
                </c:pt>
                <c:pt idx="9">
                  <c:v>6.7394486491961558</c:v>
                </c:pt>
                <c:pt idx="10">
                  <c:v>7.6205729831329991</c:v>
                </c:pt>
                <c:pt idx="11">
                  <c:v>8.5450076142680267</c:v>
                </c:pt>
                <c:pt idx="12">
                  <c:v>9.3518461279241656</c:v>
                </c:pt>
                <c:pt idx="13">
                  <c:v>10.060559228736647</c:v>
                </c:pt>
                <c:pt idx="14">
                  <c:v>10.692041094572208</c:v>
                </c:pt>
                <c:pt idx="15">
                  <c:v>11.261220159948628</c:v>
                </c:pt>
                <c:pt idx="16">
                  <c:v>11.779117307110404</c:v>
                </c:pt>
                <c:pt idx="17">
                  <c:v>12.254091506914889</c:v>
                </c:pt>
                <c:pt idx="18">
                  <c:v>12.692628117216849</c:v>
                </c:pt>
                <c:pt idx="19">
                  <c:v>13.099856791703864</c:v>
                </c:pt>
                <c:pt idx="20">
                  <c:v>13.479902754728684</c:v>
                </c:pt>
                <c:pt idx="21">
                  <c:v>13.836131674795649</c:v>
                </c:pt>
                <c:pt idx="22">
                  <c:v>14.171324481039035</c:v>
                </c:pt>
                <c:pt idx="23">
                  <c:v>14.487804800951592</c:v>
                </c:pt>
                <c:pt idx="24">
                  <c:v>14.787533592221623</c:v>
                </c:pt>
                <c:pt idx="25">
                  <c:v>15.072180579288938</c:v>
                </c:pt>
                <c:pt idx="26">
                  <c:v>15.343178980719571</c:v>
                </c:pt>
                <c:pt idx="27">
                  <c:v>15.601767996219772</c:v>
                </c:pt>
                <c:pt idx="28">
                  <c:v>15.84902619007887</c:v>
                </c:pt>
                <c:pt idx="29">
                  <c:v>16.085898010249068</c:v>
                </c:pt>
                <c:pt idx="30">
                  <c:v>16.313215066207668</c:v>
                </c:pt>
                <c:pt idx="31">
                  <c:v>16.531713358759074</c:v>
                </c:pt>
                <c:pt idx="32">
                  <c:v>16.742047350180151</c:v>
                </c:pt>
                <c:pt idx="33">
                  <c:v>16.944801544055025</c:v>
                </c:pt>
                <c:pt idx="34">
                  <c:v>17.140500084629181</c:v>
                </c:pt>
                <c:pt idx="35">
                  <c:v>17.329614767952219</c:v>
                </c:pt>
                <c:pt idx="36">
                  <c:v>17.512571769468686</c:v>
                </c:pt>
                <c:pt idx="37">
                  <c:v>17.68975732674885</c:v>
                </c:pt>
                <c:pt idx="38">
                  <c:v>17.861522565896777</c:v>
                </c:pt>
                <c:pt idx="39">
                  <c:v>18.028187621697775</c:v>
                </c:pt>
                <c:pt idx="40">
                  <c:v>18.190045171799731</c:v>
                </c:pt>
                <c:pt idx="41">
                  <c:v>18.347363482010614</c:v>
                </c:pt>
                <c:pt idx="42">
                  <c:v>18.50038904155749</c:v>
                </c:pt>
                <c:pt idx="43">
                  <c:v>18.649348852724394</c:v>
                </c:pt>
                <c:pt idx="44">
                  <c:v>18.794452427795456</c:v>
                </c:pt>
                <c:pt idx="45">
                  <c:v>18.935893537020668</c:v>
                </c:pt>
                <c:pt idx="46">
                  <c:v>19.073851743897883</c:v>
                </c:pt>
                <c:pt idx="47">
                  <c:v>19.208493758045449</c:v>
                </c:pt>
                <c:pt idx="48">
                  <c:v>19.339974631034806</c:v>
                </c:pt>
                <c:pt idx="49">
                  <c:v>19.468438816533435</c:v>
                </c:pt>
                <c:pt idx="50">
                  <c:v>19.594021112800903</c:v>
                </c:pt>
                <c:pt idx="51">
                  <c:v>19.716847502845312</c:v>
                </c:pt>
                <c:pt idx="52">
                  <c:v>19.837035905275542</c:v>
                </c:pt>
                <c:pt idx="53">
                  <c:v>19.954696846989883</c:v>
                </c:pt>
                <c:pt idx="54">
                  <c:v>20.069934067254721</c:v>
                </c:pt>
                <c:pt idx="55">
                  <c:v>20.182845061393358</c:v>
                </c:pt>
                <c:pt idx="56">
                  <c:v>20.293521571179333</c:v>
                </c:pt>
                <c:pt idx="57">
                  <c:v>20.402050028076307</c:v>
                </c:pt>
                <c:pt idx="58">
                  <c:v>20.508511954656623</c:v>
                </c:pt>
                <c:pt idx="59">
                  <c:v>20.612984328841144</c:v>
                </c:pt>
                <c:pt idx="60">
                  <c:v>20.715539915013075</c:v>
                </c:pt>
                <c:pt idx="61">
                  <c:v>20.816247565552679</c:v>
                </c:pt>
                <c:pt idx="62">
                  <c:v>20.915172495904955</c:v>
                </c:pt>
                <c:pt idx="63">
                  <c:v>21.012376535917127</c:v>
                </c:pt>
                <c:pt idx="64">
                  <c:v>21.107918359858601</c:v>
                </c:pt>
                <c:pt idx="65">
                  <c:v>21.201853697254883</c:v>
                </c:pt>
                <c:pt idx="66">
                  <c:v>21.294235526422376</c:v>
                </c:pt>
                <c:pt idx="67">
                  <c:v>21.385114252378486</c:v>
                </c:pt>
                <c:pt idx="68">
                  <c:v>21.474537870615116</c:v>
                </c:pt>
                <c:pt idx="69">
                  <c:v>21.562552118061397</c:v>
                </c:pt>
                <c:pt idx="70">
                  <c:v>21.649200612418429</c:v>
                </c:pt>
                <c:pt idx="71">
                  <c:v>21.734524980923677</c:v>
                </c:pt>
                <c:pt idx="72">
                  <c:v>21.818564979492034</c:v>
                </c:pt>
                <c:pt idx="73">
                  <c:v>21.901358603083231</c:v>
                </c:pt>
                <c:pt idx="74">
                  <c:v>21.982942188058953</c:v>
                </c:pt>
                <c:pt idx="75">
                  <c:v>22.063350507216775</c:v>
                </c:pt>
                <c:pt idx="76">
                  <c:v>22.142616858120316</c:v>
                </c:pt>
                <c:pt idx="77">
                  <c:v>22.220773145284642</c:v>
                </c:pt>
                <c:pt idx="78">
                  <c:v>22.297849956722573</c:v>
                </c:pt>
                <c:pt idx="79">
                  <c:v>22.373876635309351</c:v>
                </c:pt>
                <c:pt idx="80">
                  <c:v>22.448881345380901</c:v>
                </c:pt>
                <c:pt idx="81">
                  <c:v>22.522891134942078</c:v>
                </c:pt>
                <c:pt idx="82">
                  <c:v>22.595931993827691</c:v>
                </c:pt>
                <c:pt idx="83">
                  <c:v>22.66802890812767</c:v>
                </c:pt>
                <c:pt idx="84">
                  <c:v>22.73920591116077</c:v>
                </c:pt>
                <c:pt idx="85">
                  <c:v>22.80948613125576</c:v>
                </c:pt>
                <c:pt idx="86">
                  <c:v>22.878891836576997</c:v>
                </c:pt>
                <c:pt idx="87">
                  <c:v>22.947444477210983</c:v>
                </c:pt>
                <c:pt idx="88">
                  <c:v>23.015164724712065</c:v>
                </c:pt>
                <c:pt idx="89">
                  <c:v>23.082072509289144</c:v>
                </c:pt>
                <c:pt idx="90">
                  <c:v>23.148187054800044</c:v>
                </c:pt>
                <c:pt idx="91">
                  <c:v>23.213526911706872</c:v>
                </c:pt>
                <c:pt idx="92">
                  <c:v>23.278109988133036</c:v>
                </c:pt>
                <c:pt idx="93">
                  <c:v>23.341953579151671</c:v>
                </c:pt>
                <c:pt idx="94">
                  <c:v>23.405074394424876</c:v>
                </c:pt>
                <c:pt idx="95">
                  <c:v>23.467488584303858</c:v>
                </c:pt>
                <c:pt idx="96">
                  <c:v>23.529211764491631</c:v>
                </c:pt>
                <c:pt idx="97">
                  <c:v>23.590259039362213</c:v>
                </c:pt>
                <c:pt idx="98">
                  <c:v>23.65064502402311</c:v>
                </c:pt>
                <c:pt idx="99">
                  <c:v>23.710383865201457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71-DD4D-8FA2-2520F607D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1016815"/>
        <c:axId val="1"/>
      </c:lineChart>
      <c:catAx>
        <c:axId val="671016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71016815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79072514191540011"/>
          <c:y val="0.55321103479086386"/>
          <c:w val="0.19768113288164557"/>
          <c:h val="0.11347908639079685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139700</xdr:colOff>
      <xdr:row>0</xdr:row>
      <xdr:rowOff>12700</xdr:rowOff>
    </xdr:from>
    <xdr:to>
      <xdr:col>12</xdr:col>
      <xdr:colOff>546100</xdr:colOff>
      <xdr:row>11</xdr:row>
      <xdr:rowOff>76200</xdr:rowOff>
    </xdr:to>
    <xdr:graphicFrame macro="">
      <xdr:nvGraphicFramePr>
        <xdr:cNvPr id="1558" name="Chart 121">
          <a:extLst>
            <a:ext uri="{FF2B5EF4-FFF2-40B4-BE49-F238E27FC236}">
              <a16:creationId xmlns:a16="http://schemas.microsoft.com/office/drawing/2014/main" id="{73ED87D6-3027-95DA-5F15-5CDF9DBC3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 editAs="oneCell">
    <xdr:from>
      <xdr:col>14</xdr:col>
      <xdr:colOff>38100</xdr:colOff>
      <xdr:row>0</xdr:row>
      <xdr:rowOff>12700</xdr:rowOff>
    </xdr:from>
    <xdr:to>
      <xdr:col>17</xdr:col>
      <xdr:colOff>787400</xdr:colOff>
      <xdr:row>11</xdr:row>
      <xdr:rowOff>76200</xdr:rowOff>
    </xdr:to>
    <xdr:graphicFrame macro="">
      <xdr:nvGraphicFramePr>
        <xdr:cNvPr id="1559" name="Chart 122">
          <a:extLst>
            <a:ext uri="{FF2B5EF4-FFF2-40B4-BE49-F238E27FC236}">
              <a16:creationId xmlns:a16="http://schemas.microsoft.com/office/drawing/2014/main" id="{23AAF8FD-F75B-C0A8-A09E-CDDDAE6F0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 editAs="oneCell">
    <xdr:from>
      <xdr:col>14</xdr:col>
      <xdr:colOff>38100</xdr:colOff>
      <xdr:row>14</xdr:row>
      <xdr:rowOff>25400</xdr:rowOff>
    </xdr:from>
    <xdr:to>
      <xdr:col>17</xdr:col>
      <xdr:colOff>800100</xdr:colOff>
      <xdr:row>24</xdr:row>
      <xdr:rowOff>292100</xdr:rowOff>
    </xdr:to>
    <xdr:graphicFrame macro="">
      <xdr:nvGraphicFramePr>
        <xdr:cNvPr id="1560" name="Chart 123">
          <a:extLst>
            <a:ext uri="{FF2B5EF4-FFF2-40B4-BE49-F238E27FC236}">
              <a16:creationId xmlns:a16="http://schemas.microsoft.com/office/drawing/2014/main" id="{DDC7B054-C08F-DBEA-4EC9-B6D361468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 editAs="oneCell">
    <xdr:from>
      <xdr:col>9</xdr:col>
      <xdr:colOff>139700</xdr:colOff>
      <xdr:row>0</xdr:row>
      <xdr:rowOff>12700</xdr:rowOff>
    </xdr:from>
    <xdr:to>
      <xdr:col>12</xdr:col>
      <xdr:colOff>546100</xdr:colOff>
      <xdr:row>11</xdr:row>
      <xdr:rowOff>228600</xdr:rowOff>
    </xdr:to>
    <xdr:graphicFrame macro="">
      <xdr:nvGraphicFramePr>
        <xdr:cNvPr id="1561" name="Chart 124">
          <a:extLst>
            <a:ext uri="{FF2B5EF4-FFF2-40B4-BE49-F238E27FC236}">
              <a16:creationId xmlns:a16="http://schemas.microsoft.com/office/drawing/2014/main" id="{C1DA9F6B-2C92-8280-61EA-456D20E2B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 editAs="oneCell">
    <xdr:from>
      <xdr:col>9</xdr:col>
      <xdr:colOff>165100</xdr:colOff>
      <xdr:row>14</xdr:row>
      <xdr:rowOff>25400</xdr:rowOff>
    </xdr:from>
    <xdr:to>
      <xdr:col>12</xdr:col>
      <xdr:colOff>558800</xdr:colOff>
      <xdr:row>24</xdr:row>
      <xdr:rowOff>292100</xdr:rowOff>
    </xdr:to>
    <xdr:graphicFrame macro="">
      <xdr:nvGraphicFramePr>
        <xdr:cNvPr id="1562" name="Chart 125">
          <a:extLst>
            <a:ext uri="{FF2B5EF4-FFF2-40B4-BE49-F238E27FC236}">
              <a16:creationId xmlns:a16="http://schemas.microsoft.com/office/drawing/2014/main" id="{D83921F4-2A00-C6CC-03C2-91606AC4F6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  <xdr:twoCellAnchor editAs="oneCell">
    <xdr:from>
      <xdr:col>14</xdr:col>
      <xdr:colOff>38100</xdr:colOff>
      <xdr:row>0</xdr:row>
      <xdr:rowOff>12700</xdr:rowOff>
    </xdr:from>
    <xdr:to>
      <xdr:col>17</xdr:col>
      <xdr:colOff>787400</xdr:colOff>
      <xdr:row>11</xdr:row>
      <xdr:rowOff>228600</xdr:rowOff>
    </xdr:to>
    <xdr:graphicFrame macro="">
      <xdr:nvGraphicFramePr>
        <xdr:cNvPr id="1563" name="Chart 126">
          <a:extLst>
            <a:ext uri="{FF2B5EF4-FFF2-40B4-BE49-F238E27FC236}">
              <a16:creationId xmlns:a16="http://schemas.microsoft.com/office/drawing/2014/main" id="{57C27F31-3E18-BC4D-FAB1-E9CF14D07B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twoCellAnchor>
  <xdr:twoCellAnchor editAs="oneCell">
    <xdr:from>
      <xdr:col>9</xdr:col>
      <xdr:colOff>139700</xdr:colOff>
      <xdr:row>26</xdr:row>
      <xdr:rowOff>25400</xdr:rowOff>
    </xdr:from>
    <xdr:to>
      <xdr:col>12</xdr:col>
      <xdr:colOff>546100</xdr:colOff>
      <xdr:row>37</xdr:row>
      <xdr:rowOff>139700</xdr:rowOff>
    </xdr:to>
    <xdr:graphicFrame macro="">
      <xdr:nvGraphicFramePr>
        <xdr:cNvPr id="1564" name="Chart 127">
          <a:extLst>
            <a:ext uri="{FF2B5EF4-FFF2-40B4-BE49-F238E27FC236}">
              <a16:creationId xmlns:a16="http://schemas.microsoft.com/office/drawing/2014/main" id="{8981C3FE-0EB4-4A7F-25D3-34DE459BF0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twoCellAnchor>
  <xdr:twoCellAnchor editAs="oneCell">
    <xdr:from>
      <xdr:col>14</xdr:col>
      <xdr:colOff>38100</xdr:colOff>
      <xdr:row>26</xdr:row>
      <xdr:rowOff>25400</xdr:rowOff>
    </xdr:from>
    <xdr:to>
      <xdr:col>17</xdr:col>
      <xdr:colOff>800100</xdr:colOff>
      <xdr:row>37</xdr:row>
      <xdr:rowOff>139700</xdr:rowOff>
    </xdr:to>
    <xdr:graphicFrame macro="">
      <xdr:nvGraphicFramePr>
        <xdr:cNvPr id="1565" name="Chart 128">
          <a:extLst>
            <a:ext uri="{FF2B5EF4-FFF2-40B4-BE49-F238E27FC236}">
              <a16:creationId xmlns:a16="http://schemas.microsoft.com/office/drawing/2014/main" id="{79354C20-71FA-24B2-FF73-AD9FFA29D3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31D5E-39C7-0943-AF19-5D27CAD35DBE}">
  <dimension ref="A1:AC1000"/>
  <sheetViews>
    <sheetView tabSelected="1" topLeftCell="U117" workbookViewId="0">
      <selection activeCell="AB43" sqref="AB1:AB1048576"/>
    </sheetView>
  </sheetViews>
  <sheetFormatPr baseColWidth="10" defaultColWidth="14.5" defaultRowHeight="15" customHeight="1" x14ac:dyDescent="0.15"/>
  <cols>
    <col min="1" max="1" width="19.5" customWidth="1"/>
    <col min="2" max="2" width="7.5" customWidth="1"/>
    <col min="3" max="3" width="11" customWidth="1"/>
    <col min="4" max="4" width="1.5" customWidth="1"/>
    <col min="5" max="5" width="12.83203125" customWidth="1"/>
    <col min="6" max="6" width="14.5" customWidth="1"/>
    <col min="7" max="7" width="17.6640625" customWidth="1"/>
    <col min="8" max="8" width="13.5" customWidth="1"/>
    <col min="9" max="9" width="11" customWidth="1"/>
    <col min="10" max="10" width="14.5" customWidth="1"/>
    <col min="11" max="26" width="11" customWidth="1"/>
  </cols>
  <sheetData>
    <row r="1" spans="1:8" ht="12.75" customHeight="1" x14ac:dyDescent="0.15">
      <c r="A1" s="1"/>
      <c r="E1" s="74" t="s">
        <v>0</v>
      </c>
      <c r="F1" s="75"/>
      <c r="G1" s="75"/>
      <c r="H1" s="76"/>
    </row>
    <row r="2" spans="1:8" ht="12.75" customHeight="1" x14ac:dyDescent="0.15">
      <c r="A2" s="2" t="s">
        <v>1</v>
      </c>
      <c r="C2" s="3" t="s">
        <v>2</v>
      </c>
      <c r="E2" s="4" t="s">
        <v>3</v>
      </c>
      <c r="F2" s="4" t="s">
        <v>4</v>
      </c>
      <c r="G2" s="4" t="s">
        <v>5</v>
      </c>
      <c r="H2" s="4" t="s">
        <v>6</v>
      </c>
    </row>
    <row r="3" spans="1:8" ht="12.75" customHeight="1" x14ac:dyDescent="0.15">
      <c r="A3" s="1" t="s">
        <v>7</v>
      </c>
      <c r="B3" s="5" t="s">
        <v>8</v>
      </c>
      <c r="C3" s="6">
        <v>0.8</v>
      </c>
      <c r="E3" s="7">
        <v>0.8</v>
      </c>
      <c r="F3" s="8">
        <v>0.86370000000000002</v>
      </c>
      <c r="G3" s="8">
        <v>0.72399999999999998</v>
      </c>
      <c r="H3" s="8" t="s">
        <v>9</v>
      </c>
    </row>
    <row r="4" spans="1:8" ht="12.75" customHeight="1" thickBot="1" x14ac:dyDescent="0.2">
      <c r="A4" s="1"/>
      <c r="B4" s="9" t="s">
        <v>10</v>
      </c>
      <c r="C4" s="10">
        <v>1</v>
      </c>
      <c r="E4" s="7">
        <v>1</v>
      </c>
      <c r="F4" s="8">
        <v>1.0221</v>
      </c>
      <c r="G4" s="8">
        <v>1.0436000000000001</v>
      </c>
      <c r="H4" s="8">
        <v>1</v>
      </c>
    </row>
    <row r="5" spans="1:8" ht="12.75" customHeight="1" thickBot="1" x14ac:dyDescent="0.2">
      <c r="A5" s="11"/>
      <c r="B5" s="12"/>
      <c r="C5" s="13"/>
      <c r="D5" s="12"/>
      <c r="E5" s="14"/>
      <c r="F5" s="15"/>
      <c r="G5" s="15"/>
      <c r="H5" s="16"/>
    </row>
    <row r="6" spans="1:8" ht="12.75" customHeight="1" x14ac:dyDescent="0.15">
      <c r="A6" s="2" t="s">
        <v>11</v>
      </c>
      <c r="B6" s="17"/>
      <c r="C6" s="18"/>
      <c r="E6" s="7"/>
      <c r="F6" s="8"/>
      <c r="G6" s="8"/>
      <c r="H6" s="8"/>
    </row>
    <row r="7" spans="1:8" ht="12.75" customHeight="1" x14ac:dyDescent="0.15">
      <c r="A7" s="1" t="s">
        <v>12</v>
      </c>
      <c r="B7" s="19" t="s">
        <v>13</v>
      </c>
      <c r="C7" s="20">
        <v>0.25</v>
      </c>
      <c r="E7" s="7">
        <v>0.25</v>
      </c>
      <c r="F7" s="8">
        <v>0.1164</v>
      </c>
      <c r="G7" s="8">
        <v>0.29020000000000001</v>
      </c>
      <c r="H7" s="8" t="s">
        <v>9</v>
      </c>
    </row>
    <row r="8" spans="1:8" ht="12.75" customHeight="1" thickBot="1" x14ac:dyDescent="0.2">
      <c r="A8" s="1"/>
      <c r="B8" s="21" t="s">
        <v>14</v>
      </c>
      <c r="C8" s="22">
        <v>1</v>
      </c>
      <c r="E8" s="7">
        <v>1</v>
      </c>
      <c r="F8" s="8">
        <v>0.88190000000000002</v>
      </c>
      <c r="G8" s="8">
        <v>0.97150000000000003</v>
      </c>
      <c r="H8" s="8">
        <v>1</v>
      </c>
    </row>
    <row r="9" spans="1:8" ht="12.75" customHeight="1" thickBot="1" x14ac:dyDescent="0.2">
      <c r="A9" s="11"/>
      <c r="B9" s="12"/>
      <c r="C9" s="13"/>
      <c r="D9" s="12"/>
      <c r="E9" s="14"/>
      <c r="F9" s="15"/>
      <c r="G9" s="15"/>
      <c r="H9" s="16"/>
    </row>
    <row r="10" spans="1:8" ht="12.75" customHeight="1" x14ac:dyDescent="0.15">
      <c r="A10" s="2" t="s">
        <v>15</v>
      </c>
      <c r="B10" s="17"/>
      <c r="C10" s="18"/>
      <c r="E10" s="7"/>
      <c r="F10" s="8"/>
      <c r="G10" s="8"/>
      <c r="H10" s="8"/>
    </row>
    <row r="11" spans="1:8" ht="42" customHeight="1" x14ac:dyDescent="0.15">
      <c r="A11" s="1" t="s">
        <v>16</v>
      </c>
      <c r="B11" s="23" t="s">
        <v>17</v>
      </c>
      <c r="C11" s="24">
        <v>0.46</v>
      </c>
      <c r="E11" s="7" t="s">
        <v>65</v>
      </c>
      <c r="F11" s="8">
        <v>0.15</v>
      </c>
      <c r="G11" s="8">
        <v>0.55000000000000004</v>
      </c>
      <c r="H11" s="8" t="s">
        <v>9</v>
      </c>
    </row>
    <row r="12" spans="1:8" ht="59" customHeight="1" thickBot="1" x14ac:dyDescent="0.2">
      <c r="A12" s="1"/>
      <c r="B12" s="25" t="s">
        <v>18</v>
      </c>
      <c r="C12" s="26">
        <v>0.75</v>
      </c>
      <c r="E12" s="7" t="s">
        <v>19</v>
      </c>
      <c r="F12" s="8">
        <v>0.77190000000000003</v>
      </c>
      <c r="G12" s="8">
        <v>0.70920000000000005</v>
      </c>
      <c r="H12" s="8">
        <v>0.75</v>
      </c>
    </row>
    <row r="13" spans="1:8" ht="12.75" customHeight="1" thickBot="1" x14ac:dyDescent="0.2">
      <c r="A13" s="11"/>
      <c r="B13" s="12"/>
      <c r="C13" s="13"/>
      <c r="D13" s="12"/>
      <c r="E13" s="14"/>
      <c r="F13" s="15"/>
      <c r="G13" s="15"/>
      <c r="H13" s="16"/>
    </row>
    <row r="14" spans="1:8" ht="12.75" customHeight="1" x14ac:dyDescent="0.15">
      <c r="A14" s="2" t="s">
        <v>20</v>
      </c>
      <c r="B14" s="17"/>
      <c r="C14" s="18"/>
      <c r="E14" s="7"/>
      <c r="F14" s="8"/>
      <c r="G14" s="8"/>
      <c r="H14" s="8"/>
    </row>
    <row r="15" spans="1:8" ht="12.75" customHeight="1" x14ac:dyDescent="0.15">
      <c r="A15" s="1" t="s">
        <v>21</v>
      </c>
      <c r="B15" s="27" t="s">
        <v>22</v>
      </c>
      <c r="C15" s="28">
        <v>0.03</v>
      </c>
      <c r="E15" s="7">
        <v>0.03</v>
      </c>
      <c r="F15" s="8">
        <v>2.6499999999999999E-2</v>
      </c>
      <c r="G15" s="8">
        <v>3.0300000000000001E-2</v>
      </c>
      <c r="H15" s="8" t="s">
        <v>9</v>
      </c>
    </row>
    <row r="16" spans="1:8" ht="12.75" customHeight="1" thickBot="1" x14ac:dyDescent="0.2">
      <c r="A16" s="1"/>
      <c r="B16" s="29" t="s">
        <v>23</v>
      </c>
      <c r="C16" s="30">
        <v>0.375</v>
      </c>
      <c r="E16" s="7">
        <v>0.375</v>
      </c>
      <c r="F16" s="8">
        <v>0.38250000000000001</v>
      </c>
      <c r="G16" s="8">
        <v>0.40300000000000002</v>
      </c>
      <c r="H16" s="8">
        <v>0.375</v>
      </c>
    </row>
    <row r="17" spans="1:26" ht="12.75" customHeight="1" thickBot="1" x14ac:dyDescent="0.2">
      <c r="A17" s="11"/>
      <c r="B17" s="12"/>
      <c r="C17" s="13"/>
      <c r="D17" s="12"/>
      <c r="E17" s="14"/>
      <c r="F17" s="15"/>
      <c r="G17" s="15"/>
      <c r="H17" s="16"/>
    </row>
    <row r="18" spans="1:26" ht="12.75" customHeight="1" x14ac:dyDescent="0.15">
      <c r="A18" s="2" t="s">
        <v>24</v>
      </c>
      <c r="B18" s="17"/>
      <c r="C18" s="18"/>
      <c r="E18" s="7"/>
      <c r="F18" s="8"/>
      <c r="G18" s="8"/>
      <c r="H18" s="8"/>
    </row>
    <row r="19" spans="1:26" ht="12.75" customHeight="1" x14ac:dyDescent="0.15">
      <c r="A19" s="1" t="s">
        <v>25</v>
      </c>
      <c r="B19" s="31" t="s">
        <v>26</v>
      </c>
      <c r="C19" s="32">
        <v>100</v>
      </c>
      <c r="D19" s="33"/>
      <c r="E19" s="7">
        <v>100</v>
      </c>
      <c r="F19" s="8">
        <v>160.81198000000001</v>
      </c>
      <c r="G19" s="8">
        <v>80.258869500000003</v>
      </c>
      <c r="H19" s="8" t="s">
        <v>9</v>
      </c>
    </row>
    <row r="20" spans="1:26" ht="12.75" customHeight="1" x14ac:dyDescent="0.15">
      <c r="A20" s="34"/>
      <c r="B20" s="35" t="s">
        <v>27</v>
      </c>
      <c r="C20" s="36">
        <v>1</v>
      </c>
      <c r="E20" s="7">
        <v>1</v>
      </c>
      <c r="F20" s="8">
        <v>1.0964662000000001</v>
      </c>
      <c r="G20" s="8">
        <v>0.92930453000000002</v>
      </c>
      <c r="H20" s="8">
        <v>0.66669999999999996</v>
      </c>
    </row>
    <row r="21" spans="1:26" ht="12.75" customHeight="1" thickBot="1" x14ac:dyDescent="0.2">
      <c r="A21" s="1"/>
      <c r="B21" s="37" t="s">
        <v>28</v>
      </c>
      <c r="C21" s="38">
        <v>0</v>
      </c>
      <c r="E21" s="7">
        <v>0</v>
      </c>
      <c r="F21" s="8">
        <v>0</v>
      </c>
      <c r="G21" s="8">
        <v>0</v>
      </c>
      <c r="H21" s="8" t="s">
        <v>9</v>
      </c>
    </row>
    <row r="22" spans="1:26" ht="12.75" customHeight="1" thickBot="1" x14ac:dyDescent="0.2">
      <c r="A22" s="11"/>
      <c r="B22" s="12"/>
      <c r="C22" s="13"/>
      <c r="D22" s="12"/>
      <c r="E22" s="14"/>
      <c r="F22" s="15"/>
      <c r="G22" s="15"/>
      <c r="H22" s="16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2.75" customHeight="1" x14ac:dyDescent="0.15">
      <c r="A23" s="2" t="s">
        <v>29</v>
      </c>
      <c r="B23" s="17"/>
      <c r="C23" s="18"/>
      <c r="E23" s="7"/>
      <c r="F23" s="8"/>
      <c r="G23" s="8"/>
      <c r="H23" s="8"/>
    </row>
    <row r="24" spans="1:26" ht="12.75" customHeight="1" x14ac:dyDescent="0.15">
      <c r="A24" s="1" t="s">
        <v>30</v>
      </c>
      <c r="B24" s="40" t="s">
        <v>31</v>
      </c>
      <c r="C24" s="41">
        <v>30</v>
      </c>
      <c r="E24" s="7" t="s">
        <v>32</v>
      </c>
      <c r="F24" s="8">
        <v>31.464272999999999</v>
      </c>
      <c r="G24" s="8">
        <v>30.112784999999999</v>
      </c>
      <c r="H24" s="8" t="s">
        <v>9</v>
      </c>
    </row>
    <row r="25" spans="1:26" ht="39" customHeight="1" thickBot="1" x14ac:dyDescent="0.2">
      <c r="A25" s="1"/>
      <c r="B25" s="42" t="s">
        <v>33</v>
      </c>
      <c r="C25" s="43">
        <v>8.6999999999999993</v>
      </c>
      <c r="E25" s="7" t="s">
        <v>66</v>
      </c>
      <c r="F25" s="8">
        <v>8.5</v>
      </c>
      <c r="G25" s="8">
        <v>8.9</v>
      </c>
      <c r="H25" s="8" t="s">
        <v>9</v>
      </c>
    </row>
    <row r="26" spans="1:26" ht="12.75" customHeight="1" thickBot="1" x14ac:dyDescent="0.2">
      <c r="A26" s="11"/>
      <c r="B26" s="12"/>
      <c r="C26" s="13"/>
      <c r="D26" s="12"/>
      <c r="E26" s="14"/>
      <c r="F26" s="15"/>
      <c r="G26" s="15"/>
      <c r="H26" s="16"/>
    </row>
    <row r="27" spans="1:26" ht="12.75" customHeight="1" x14ac:dyDescent="0.15">
      <c r="A27" s="2" t="s">
        <v>34</v>
      </c>
      <c r="B27" s="17"/>
      <c r="C27" s="18"/>
      <c r="E27" s="7"/>
      <c r="F27" s="8"/>
      <c r="G27" s="8"/>
      <c r="H27" s="8"/>
    </row>
    <row r="28" spans="1:26" ht="12.75" customHeight="1" x14ac:dyDescent="0.15">
      <c r="A28" s="1" t="s">
        <v>35</v>
      </c>
      <c r="B28" s="44" t="s">
        <v>36</v>
      </c>
      <c r="C28" s="45">
        <v>1.5</v>
      </c>
      <c r="D28" s="33"/>
      <c r="E28" s="7">
        <v>1.5</v>
      </c>
      <c r="F28" s="8">
        <v>1.5056</v>
      </c>
      <c r="G28" s="8">
        <v>0.58408000000000004</v>
      </c>
      <c r="H28" s="8" t="s">
        <v>9</v>
      </c>
    </row>
    <row r="29" spans="1:26" ht="12.75" customHeight="1" thickBot="1" x14ac:dyDescent="0.2">
      <c r="A29" s="1"/>
      <c r="B29" s="46" t="s">
        <v>37</v>
      </c>
      <c r="C29" s="47">
        <v>-0.45</v>
      </c>
      <c r="D29" s="33"/>
      <c r="E29" s="7">
        <v>-0.45</v>
      </c>
      <c r="F29" s="8">
        <v>-0.44834000000000002</v>
      </c>
      <c r="G29" s="8">
        <v>-0.45767000000000002</v>
      </c>
      <c r="H29" s="8" t="s">
        <v>9</v>
      </c>
    </row>
    <row r="30" spans="1:26" ht="12.75" customHeight="1" thickBot="1" x14ac:dyDescent="0.2">
      <c r="A30" s="11"/>
      <c r="B30" s="12"/>
      <c r="C30" s="12"/>
      <c r="D30" s="12"/>
      <c r="E30" s="14"/>
      <c r="F30" s="15"/>
      <c r="G30" s="15"/>
      <c r="H30" s="16"/>
    </row>
    <row r="31" spans="1:26" ht="12.75" customHeight="1" x14ac:dyDescent="0.15">
      <c r="A31" s="1" t="s">
        <v>38</v>
      </c>
      <c r="B31" s="17"/>
      <c r="C31" s="17">
        <v>2.6999999999999999E-5</v>
      </c>
      <c r="E31" s="7">
        <v>3.0000000000000001E-5</v>
      </c>
      <c r="F31" s="8">
        <v>2.6999999999999999E-5</v>
      </c>
      <c r="G31" s="8">
        <v>2.6999999999999999E-5</v>
      </c>
      <c r="H31" s="8" t="s">
        <v>9</v>
      </c>
    </row>
    <row r="32" spans="1:26" ht="12.75" customHeight="1" x14ac:dyDescent="0.15">
      <c r="A32" s="1" t="s">
        <v>39</v>
      </c>
      <c r="B32" s="17"/>
      <c r="C32" s="17">
        <v>923.43</v>
      </c>
      <c r="E32" s="7" t="s">
        <v>40</v>
      </c>
      <c r="F32" s="8">
        <v>500</v>
      </c>
      <c r="G32" s="8">
        <v>923.43</v>
      </c>
      <c r="H32" s="8" t="s">
        <v>9</v>
      </c>
    </row>
    <row r="33" spans="1:29" ht="12.75" customHeight="1" x14ac:dyDescent="0.15">
      <c r="A33" s="48" t="s">
        <v>41</v>
      </c>
      <c r="B33" s="49"/>
      <c r="C33" s="50">
        <v>726</v>
      </c>
      <c r="E33" s="7" t="s">
        <v>32</v>
      </c>
      <c r="F33" s="8">
        <v>995.76</v>
      </c>
      <c r="G33" s="8">
        <v>764.3</v>
      </c>
      <c r="H33" s="8"/>
    </row>
    <row r="34" spans="1:29" ht="12.75" customHeight="1" x14ac:dyDescent="0.15">
      <c r="A34" s="51" t="s">
        <v>42</v>
      </c>
      <c r="B34" s="52"/>
      <c r="C34" s="53">
        <v>12.23</v>
      </c>
      <c r="E34" s="7" t="s">
        <v>32</v>
      </c>
      <c r="F34" s="8">
        <v>9.6543478</v>
      </c>
      <c r="G34" s="8">
        <v>7.3263157999999997</v>
      </c>
      <c r="H34" s="8" t="s">
        <v>9</v>
      </c>
    </row>
    <row r="35" spans="1:29" ht="12.75" customHeight="1" x14ac:dyDescent="0.15">
      <c r="A35" s="1" t="s">
        <v>43</v>
      </c>
      <c r="B35" s="17"/>
      <c r="C35" s="17">
        <v>2.9599999999999998E-4</v>
      </c>
      <c r="E35" s="7"/>
      <c r="F35" s="8">
        <v>2.9599999999999998E-4</v>
      </c>
      <c r="G35" s="8">
        <v>2.9599999999999998E-4</v>
      </c>
      <c r="H35" s="8" t="s">
        <v>9</v>
      </c>
    </row>
    <row r="36" spans="1:29" ht="12.75" customHeight="1" x14ac:dyDescent="0.15">
      <c r="A36" s="1"/>
      <c r="B36" s="17"/>
      <c r="C36" s="17"/>
      <c r="E36" s="7"/>
      <c r="F36" s="8"/>
      <c r="G36" s="54"/>
      <c r="H36" s="8"/>
    </row>
    <row r="37" spans="1:29" ht="12.75" customHeight="1" thickBot="1" x14ac:dyDescent="0.2">
      <c r="A37" s="1" t="s">
        <v>44</v>
      </c>
      <c r="B37" s="55"/>
      <c r="C37" s="55">
        <v>0.99</v>
      </c>
      <c r="E37" s="56"/>
      <c r="F37" s="57"/>
      <c r="G37" s="58"/>
      <c r="H37" s="57"/>
    </row>
    <row r="38" spans="1:29" ht="12.75" customHeight="1" thickBot="1" x14ac:dyDescent="0.2">
      <c r="A38" s="59"/>
      <c r="B38" s="12"/>
      <c r="C38" s="13"/>
      <c r="D38" s="12"/>
      <c r="E38" s="14"/>
      <c r="F38" s="15"/>
      <c r="G38" s="15"/>
      <c r="H38" s="16"/>
    </row>
    <row r="39" spans="1:29" ht="12" customHeight="1" x14ac:dyDescent="0.2">
      <c r="A39" t="s">
        <v>45</v>
      </c>
      <c r="C39" s="60">
        <v>0</v>
      </c>
    </row>
    <row r="40" spans="1:29" ht="51" customHeight="1" x14ac:dyDescent="0.2">
      <c r="A40" t="s">
        <v>46</v>
      </c>
      <c r="C40" s="60">
        <v>0</v>
      </c>
      <c r="J40" s="61" t="s">
        <v>47</v>
      </c>
      <c r="K40" s="62">
        <f t="array" ref="K40">INDEX(J:J,MATCH("True",P:P,0))</f>
        <v>11</v>
      </c>
      <c r="L40" s="60"/>
    </row>
    <row r="41" spans="1:29" ht="12.75" customHeight="1" x14ac:dyDescent="0.15">
      <c r="A41" s="1" t="s">
        <v>67</v>
      </c>
      <c r="C41">
        <v>100</v>
      </c>
      <c r="J41" s="63" t="s">
        <v>48</v>
      </c>
      <c r="K41" s="63" t="e">
        <f>IF(MATCH("True",W:W,0)&gt;0,"TREE COLLAPSES UNDER IT'S OWN WEIGHT!","")</f>
        <v>#N/A</v>
      </c>
    </row>
    <row r="42" spans="1:29" ht="41" customHeight="1" x14ac:dyDescent="0.15">
      <c r="A42" s="1"/>
      <c r="G42" s="72" t="s">
        <v>64</v>
      </c>
      <c r="H42" s="73">
        <v>2</v>
      </c>
      <c r="K42" s="63" t="e">
        <f>IF(MATCH("True",Y:Y,0)&gt;0,"Allometric masses differ from total mass outside cutoff","")</f>
        <v>#N/A</v>
      </c>
    </row>
    <row r="43" spans="1:29" ht="12.75" customHeight="1" x14ac:dyDescent="0.15">
      <c r="A43" s="1"/>
      <c r="G43" t="s">
        <v>72</v>
      </c>
      <c r="H43">
        <v>1200</v>
      </c>
    </row>
    <row r="44" spans="1:29" ht="61" customHeight="1" x14ac:dyDescent="0.15">
      <c r="A44" s="1"/>
      <c r="J44" s="64" t="s">
        <v>49</v>
      </c>
      <c r="K44" s="64" t="s">
        <v>50</v>
      </c>
      <c r="L44" s="64" t="s">
        <v>51</v>
      </c>
      <c r="M44" s="64" t="s">
        <v>52</v>
      </c>
      <c r="N44" s="65" t="s">
        <v>53</v>
      </c>
      <c r="O44" s="65" t="s">
        <v>54</v>
      </c>
      <c r="P44" s="65" t="s">
        <v>55</v>
      </c>
      <c r="Q44" s="65" t="s">
        <v>56</v>
      </c>
      <c r="R44" s="64" t="s">
        <v>57</v>
      </c>
      <c r="S44" s="65" t="s">
        <v>58</v>
      </c>
      <c r="T44" s="65" t="s">
        <v>59</v>
      </c>
      <c r="U44" s="65" t="s">
        <v>60</v>
      </c>
      <c r="V44" s="66" t="s">
        <v>61</v>
      </c>
      <c r="W44" s="2" t="s">
        <v>62</v>
      </c>
      <c r="X44" s="69" t="s">
        <v>63</v>
      </c>
      <c r="Z44" s="77" t="s">
        <v>68</v>
      </c>
      <c r="AA44" s="77" t="s">
        <v>69</v>
      </c>
      <c r="AB44" s="77" t="s">
        <v>70</v>
      </c>
      <c r="AC44" s="77" t="s">
        <v>71</v>
      </c>
    </row>
    <row r="45" spans="1:29" ht="12.75" customHeight="1" x14ac:dyDescent="0.15">
      <c r="A45" s="1"/>
      <c r="J45" s="67">
        <v>0</v>
      </c>
      <c r="K45" s="33">
        <v>2.6999999999999999E-5</v>
      </c>
      <c r="L45" s="33">
        <f>K45</f>
        <v>2.6999999999999999E-5</v>
      </c>
      <c r="M45" s="33">
        <f>L45*C37</f>
        <v>2.673E-5</v>
      </c>
      <c r="N45" s="33">
        <f t="shared" ref="N45:N145" si="0">($C$19*(S45^$C$20))-$C$21</f>
        <v>5.7842341374131516E-2</v>
      </c>
      <c r="O45" s="33">
        <f t="shared" ref="O45:O145" si="1">$C$24+($C$25*(LN(S45)))</f>
        <v>-34.860278347425208</v>
      </c>
      <c r="P45" s="33" t="str">
        <f t="shared" ref="P45:P108" si="2">IF(P44="True", "True", IF(O45&gt;N45,"True","False"))</f>
        <v>False</v>
      </c>
      <c r="Q45" s="33">
        <f t="shared" ref="Q45:Q144" si="3">IF(P45="True", O45, N45)</f>
        <v>5.7842341374131516E-2</v>
      </c>
      <c r="R45" s="33">
        <f>L45-M45</f>
        <v>2.6999999999999911E-7</v>
      </c>
      <c r="S45" s="33">
        <f t="shared" ref="S45:S144" si="4">$C$15*(M45^$C$16)</f>
        <v>5.7842341374131519E-4</v>
      </c>
      <c r="T45" s="33">
        <f t="shared" ref="T45:T144" si="5">(((R45/$C$34)/$C$37)^0.5)*0.7071067812</f>
        <v>1.0559322603370342E-4</v>
      </c>
      <c r="U45" s="33">
        <f t="shared" ref="U45:U144" si="6">(((R45/$C$32)/$C$35)/2)</f>
        <v>4.9389892150036243E-7</v>
      </c>
      <c r="V45" s="67">
        <f t="shared" ref="V45:V144" si="7">0.79*((($C$34*1000000000)/(9.81*$C$33))^0.33)*(S45^0.6667)</f>
        <v>0.62590335940446451</v>
      </c>
      <c r="W45" s="33" t="str">
        <f t="shared" ref="W45:W144" si="8">IF(Q45&gt;V45,"True","False")</f>
        <v>False</v>
      </c>
      <c r="X45" s="70">
        <f>ABS((M45+R45)-L45)/L45</f>
        <v>0</v>
      </c>
      <c r="Y45" s="71" t="str">
        <f>IF(X45&gt;($H$42/100),"True","False")</f>
        <v>False</v>
      </c>
      <c r="Z45">
        <f>SQRT(U45/PI())</f>
        <v>3.9650083163730859E-4</v>
      </c>
      <c r="AA45">
        <f>IF(U45=0,0,R45/U45)</f>
        <v>0.54667055999999992</v>
      </c>
      <c r="AB45" s="78">
        <f>(S45/2)*((3*$C$41*1000000/(8*AA45*9.81))^(1/3))*($H$43^(-1/6))</f>
        <v>1.696541622265926E-2</v>
      </c>
      <c r="AC45" s="78" t="str">
        <f t="shared" ref="AC45" si="9">IF(Z45&gt;AB45,"True","False")</f>
        <v>False</v>
      </c>
    </row>
    <row r="46" spans="1:29" ht="12.75" customHeight="1" x14ac:dyDescent="0.15">
      <c r="A46" s="1"/>
      <c r="J46" s="67">
        <f t="shared" ref="J46:J109" si="10">J45+1</f>
        <v>1</v>
      </c>
      <c r="K46" s="33">
        <f t="shared" ref="K46:K145" si="11">$C$28*(R45^$C$29)*U45</f>
        <v>6.6929201396042292E-4</v>
      </c>
      <c r="L46" s="33">
        <f t="shared" ref="L46:L146" si="12">M45+R45+K46</f>
        <v>6.9629201396042293E-4</v>
      </c>
      <c r="M46" s="33">
        <f t="shared" ref="M46:M109" si="13">M45+($C$3*(K46^$C$4))</f>
        <v>5.6216361116833834E-4</v>
      </c>
      <c r="N46" s="33">
        <f t="shared" si="0"/>
        <v>0.18126743050040195</v>
      </c>
      <c r="O46" s="33">
        <f t="shared" si="1"/>
        <v>-24.922682465956761</v>
      </c>
      <c r="P46" s="33" t="str">
        <f t="shared" si="2"/>
        <v>False</v>
      </c>
      <c r="Q46" s="33">
        <f t="shared" si="3"/>
        <v>0.18126743050040195</v>
      </c>
      <c r="R46" s="33">
        <f t="shared" ref="R46:R144" si="14">IF(P46="False",$C$7*(M46^$C$8),$C$11*(M46^$C$12))</f>
        <v>1.4054090279208459E-4</v>
      </c>
      <c r="S46" s="33">
        <f t="shared" si="4"/>
        <v>1.8126743050040194E-3</v>
      </c>
      <c r="T46" s="33">
        <f t="shared" si="5"/>
        <v>2.409103984137192E-3</v>
      </c>
      <c r="U46" s="33">
        <f t="shared" si="6"/>
        <v>2.570851863544373E-4</v>
      </c>
      <c r="V46" s="67">
        <f t="shared" si="7"/>
        <v>1.3404164877771645</v>
      </c>
      <c r="W46" s="33" t="str">
        <f t="shared" si="8"/>
        <v>False</v>
      </c>
      <c r="X46" s="70">
        <f t="shared" ref="X46:X109" si="15">ABS((M46+R46)-L46)/L46</f>
        <v>9.2094981292783554E-3</v>
      </c>
      <c r="Y46" s="71" t="str">
        <f t="shared" ref="Y46:Y109" si="16">IF(X46&gt;($H$42/100),"True","False")</f>
        <v>False</v>
      </c>
      <c r="Z46">
        <f t="shared" ref="Z46:Z109" si="17">SQRT(U46/PI())</f>
        <v>9.0461459422242103E-3</v>
      </c>
      <c r="AA46">
        <f t="shared" ref="AA46:AA109" si="18">IF(U46=0,0,R46/U46)</f>
        <v>0.54667055999999992</v>
      </c>
      <c r="AB46" s="78">
        <f t="shared" ref="AB46:AB109" si="19">(S46/2)*((3*$C$41*1000000/(8*AA46*9.81))^(1/3))*($H$43^(-1/6))</f>
        <v>5.3166544316731561E-2</v>
      </c>
      <c r="AC46" s="78" t="str">
        <f t="shared" ref="AC46:AC109" si="20">IF(Z46&gt;AB46,"True","False")</f>
        <v>False</v>
      </c>
    </row>
    <row r="47" spans="1:29" ht="12.75" customHeight="1" x14ac:dyDescent="0.15">
      <c r="A47" s="1"/>
      <c r="J47" s="67">
        <f t="shared" si="10"/>
        <v>2</v>
      </c>
      <c r="K47" s="33">
        <f t="shared" si="11"/>
        <v>2.0876470645320545E-2</v>
      </c>
      <c r="L47" s="33">
        <f t="shared" si="12"/>
        <v>2.1579175159280966E-2</v>
      </c>
      <c r="M47" s="33">
        <f t="shared" si="13"/>
        <v>1.7263340127424774E-2</v>
      </c>
      <c r="N47" s="33">
        <f t="shared" si="0"/>
        <v>0.6547010914390502</v>
      </c>
      <c r="O47" s="33">
        <f t="shared" si="1"/>
        <v>-13.750096137244199</v>
      </c>
      <c r="P47" s="33" t="str">
        <f t="shared" si="2"/>
        <v>False</v>
      </c>
      <c r="Q47" s="33">
        <f t="shared" si="3"/>
        <v>0.6547010914390502</v>
      </c>
      <c r="R47" s="33">
        <f t="shared" si="14"/>
        <v>4.3158350318561935E-3</v>
      </c>
      <c r="S47" s="33">
        <f t="shared" si="4"/>
        <v>6.5470109143905024E-3</v>
      </c>
      <c r="T47" s="33">
        <f t="shared" si="5"/>
        <v>1.3350163799671206E-2</v>
      </c>
      <c r="U47" s="33">
        <f t="shared" si="6"/>
        <v>7.8947639541009744E-3</v>
      </c>
      <c r="V47" s="67">
        <f t="shared" si="7"/>
        <v>3.1555413552225051</v>
      </c>
      <c r="W47" s="33" t="str">
        <f t="shared" si="8"/>
        <v>False</v>
      </c>
      <c r="X47" s="70">
        <f t="shared" si="15"/>
        <v>1.6077755179912163E-16</v>
      </c>
      <c r="Y47" s="71" t="str">
        <f t="shared" si="16"/>
        <v>False</v>
      </c>
      <c r="Z47">
        <f t="shared" si="17"/>
        <v>5.0129646075728229E-2</v>
      </c>
      <c r="AA47">
        <f t="shared" si="18"/>
        <v>0.54667055999999992</v>
      </c>
      <c r="AB47" s="78">
        <f t="shared" si="19"/>
        <v>0.19202674466183048</v>
      </c>
      <c r="AC47" s="78" t="str">
        <f t="shared" si="20"/>
        <v>False</v>
      </c>
    </row>
    <row r="48" spans="1:29" ht="12.75" customHeight="1" x14ac:dyDescent="0.15">
      <c r="A48" s="1"/>
      <c r="J48" s="67">
        <f t="shared" si="10"/>
        <v>3</v>
      </c>
      <c r="K48" s="33">
        <f t="shared" si="11"/>
        <v>0.13729389702631564</v>
      </c>
      <c r="L48" s="33">
        <f t="shared" si="12"/>
        <v>0.1588730721855966</v>
      </c>
      <c r="M48" s="33">
        <f t="shared" si="13"/>
        <v>0.12709845774847731</v>
      </c>
      <c r="N48" s="33">
        <f t="shared" si="0"/>
        <v>1.3841203694175213</v>
      </c>
      <c r="O48" s="33">
        <f t="shared" si="1"/>
        <v>-7.2369166359322463</v>
      </c>
      <c r="P48" s="33" t="str">
        <f t="shared" si="2"/>
        <v>False</v>
      </c>
      <c r="Q48" s="33">
        <f t="shared" si="3"/>
        <v>1.3841203694175213</v>
      </c>
      <c r="R48" s="33">
        <f t="shared" si="14"/>
        <v>3.1774614437119326E-2</v>
      </c>
      <c r="S48" s="33">
        <f t="shared" si="4"/>
        <v>1.3841203694175212E-2</v>
      </c>
      <c r="T48" s="33">
        <f t="shared" si="5"/>
        <v>3.622382616681679E-2</v>
      </c>
      <c r="U48" s="33">
        <f t="shared" si="6"/>
        <v>5.8123880746604191E-2</v>
      </c>
      <c r="V48" s="67">
        <f t="shared" si="7"/>
        <v>5.1980275539777478</v>
      </c>
      <c r="W48" s="33" t="str">
        <f t="shared" si="8"/>
        <v>False</v>
      </c>
      <c r="X48" s="70">
        <f t="shared" si="15"/>
        <v>1.747028318506025E-16</v>
      </c>
      <c r="Y48" s="71" t="str">
        <f t="shared" si="16"/>
        <v>False</v>
      </c>
      <c r="Z48">
        <f t="shared" si="17"/>
        <v>0.13601987305174124</v>
      </c>
      <c r="AA48">
        <f t="shared" si="18"/>
        <v>0.54667055999999992</v>
      </c>
      <c r="AB48" s="78">
        <f t="shared" si="19"/>
        <v>0.40596866605975485</v>
      </c>
      <c r="AC48" s="78" t="str">
        <f t="shared" si="20"/>
        <v>False</v>
      </c>
    </row>
    <row r="49" spans="1:29" ht="12.75" customHeight="1" x14ac:dyDescent="0.15">
      <c r="A49" s="1"/>
      <c r="J49" s="67">
        <f t="shared" si="10"/>
        <v>4</v>
      </c>
      <c r="K49" s="33">
        <f t="shared" si="11"/>
        <v>0.41163257126266478</v>
      </c>
      <c r="L49" s="33">
        <f t="shared" si="12"/>
        <v>0.57050564344826138</v>
      </c>
      <c r="M49" s="33">
        <f t="shared" si="13"/>
        <v>0.4564045147586091</v>
      </c>
      <c r="N49" s="33">
        <f t="shared" si="0"/>
        <v>2.2355144383049552</v>
      </c>
      <c r="O49" s="33">
        <f t="shared" si="1"/>
        <v>-3.0660796528310357</v>
      </c>
      <c r="P49" s="33" t="str">
        <f t="shared" si="2"/>
        <v>False</v>
      </c>
      <c r="Q49" s="33">
        <f t="shared" si="3"/>
        <v>2.2355144383049552</v>
      </c>
      <c r="R49" s="33">
        <f t="shared" si="14"/>
        <v>0.11410112868965228</v>
      </c>
      <c r="S49" s="33">
        <f t="shared" si="4"/>
        <v>2.2355144383049554E-2</v>
      </c>
      <c r="T49" s="33">
        <f t="shared" si="5"/>
        <v>6.8643456906704176E-2</v>
      </c>
      <c r="U49" s="33">
        <f t="shared" si="6"/>
        <v>0.20872009037701295</v>
      </c>
      <c r="V49" s="67">
        <f t="shared" si="7"/>
        <v>7.1556308900082772</v>
      </c>
      <c r="W49" s="33" t="str">
        <f t="shared" si="8"/>
        <v>False</v>
      </c>
      <c r="X49" s="70">
        <f t="shared" si="15"/>
        <v>0</v>
      </c>
      <c r="Y49" s="71" t="str">
        <f t="shared" si="16"/>
        <v>False</v>
      </c>
      <c r="Z49">
        <f t="shared" si="17"/>
        <v>0.25775505467823029</v>
      </c>
      <c r="AA49">
        <f t="shared" si="18"/>
        <v>0.54667056000000003</v>
      </c>
      <c r="AB49" s="78">
        <f t="shared" si="19"/>
        <v>0.65568633662830089</v>
      </c>
      <c r="AC49" s="78" t="str">
        <f t="shared" si="20"/>
        <v>False</v>
      </c>
    </row>
    <row r="50" spans="1:29" ht="12.75" customHeight="1" x14ac:dyDescent="0.15">
      <c r="A50" s="1"/>
      <c r="J50" s="67">
        <f t="shared" si="10"/>
        <v>5</v>
      </c>
      <c r="K50" s="33">
        <f t="shared" si="11"/>
        <v>0.83152448124520506</v>
      </c>
      <c r="L50" s="33">
        <f t="shared" si="12"/>
        <v>1.4020301246934666</v>
      </c>
      <c r="M50" s="33">
        <f t="shared" si="13"/>
        <v>1.1216240997547731</v>
      </c>
      <c r="N50" s="33">
        <f t="shared" si="0"/>
        <v>3.1319441163580799</v>
      </c>
      <c r="O50" s="33">
        <f t="shared" si="1"/>
        <v>-0.13259138210151988</v>
      </c>
      <c r="P50" s="33" t="str">
        <f t="shared" si="2"/>
        <v>False</v>
      </c>
      <c r="Q50" s="33">
        <f t="shared" si="3"/>
        <v>3.1319441163580799</v>
      </c>
      <c r="R50" s="33">
        <f t="shared" si="14"/>
        <v>0.28040602493869327</v>
      </c>
      <c r="S50" s="33">
        <f t="shared" si="4"/>
        <v>3.1319441163580798E-2</v>
      </c>
      <c r="T50" s="33">
        <f t="shared" si="5"/>
        <v>0.10760881447050778</v>
      </c>
      <c r="U50" s="33">
        <f t="shared" si="6"/>
        <v>0.5129341974052769</v>
      </c>
      <c r="V50" s="67">
        <f t="shared" si="7"/>
        <v>8.9593635892617751</v>
      </c>
      <c r="W50" s="33" t="str">
        <f t="shared" si="8"/>
        <v>False</v>
      </c>
      <c r="X50" s="70">
        <f t="shared" si="15"/>
        <v>1.5837363335796949E-16</v>
      </c>
      <c r="Y50" s="71" t="str">
        <f t="shared" si="16"/>
        <v>False</v>
      </c>
      <c r="Z50">
        <f t="shared" si="17"/>
        <v>0.40406933315440768</v>
      </c>
      <c r="AA50">
        <f t="shared" si="18"/>
        <v>0.54667056000000003</v>
      </c>
      <c r="AB50" s="78">
        <f t="shared" si="19"/>
        <v>0.91861315185084658</v>
      </c>
      <c r="AC50" s="78" t="str">
        <f t="shared" si="20"/>
        <v>False</v>
      </c>
    </row>
    <row r="51" spans="1:29" ht="12.75" customHeight="1" x14ac:dyDescent="0.15">
      <c r="A51" s="1"/>
      <c r="J51" s="67">
        <f t="shared" si="10"/>
        <v>6</v>
      </c>
      <c r="K51" s="33">
        <f t="shared" si="11"/>
        <v>1.3634794921602</v>
      </c>
      <c r="L51" s="33">
        <f t="shared" si="12"/>
        <v>2.7655096168536666</v>
      </c>
      <c r="M51" s="33">
        <f t="shared" si="13"/>
        <v>2.2124076934829331</v>
      </c>
      <c r="N51" s="33">
        <f t="shared" si="0"/>
        <v>4.0405984204672594</v>
      </c>
      <c r="O51" s="33">
        <f t="shared" si="1"/>
        <v>2.0836367843755674</v>
      </c>
      <c r="P51" s="33" t="str">
        <f t="shared" si="2"/>
        <v>False</v>
      </c>
      <c r="Q51" s="33">
        <f t="shared" si="3"/>
        <v>4.0405984204672594</v>
      </c>
      <c r="R51" s="33">
        <f t="shared" si="14"/>
        <v>0.55310192337073327</v>
      </c>
      <c r="S51" s="33">
        <f t="shared" si="4"/>
        <v>4.040598420467259E-2</v>
      </c>
      <c r="T51" s="33">
        <f t="shared" si="5"/>
        <v>0.15113211522142472</v>
      </c>
      <c r="U51" s="33">
        <f t="shared" si="6"/>
        <v>1.0117646053058598</v>
      </c>
      <c r="V51" s="67">
        <f t="shared" si="7"/>
        <v>10.61781871782406</v>
      </c>
      <c r="W51" s="33" t="str">
        <f t="shared" si="8"/>
        <v>False</v>
      </c>
      <c r="X51" s="70">
        <f t="shared" si="15"/>
        <v>0</v>
      </c>
      <c r="Y51" s="71" t="str">
        <f t="shared" si="16"/>
        <v>False</v>
      </c>
      <c r="Z51">
        <f t="shared" si="17"/>
        <v>0.56749861353107833</v>
      </c>
      <c r="AA51">
        <f t="shared" si="18"/>
        <v>0.54667055999999992</v>
      </c>
      <c r="AB51" s="78">
        <f t="shared" si="19"/>
        <v>1.1851255043161861</v>
      </c>
      <c r="AC51" s="78" t="str">
        <f t="shared" si="20"/>
        <v>False</v>
      </c>
    </row>
    <row r="52" spans="1:29" ht="12.75" customHeight="1" x14ac:dyDescent="0.15">
      <c r="A52" s="1"/>
      <c r="J52" s="33">
        <f t="shared" si="10"/>
        <v>7</v>
      </c>
      <c r="K52" s="33">
        <f t="shared" si="11"/>
        <v>1.9811092032485451</v>
      </c>
      <c r="L52" s="33">
        <f t="shared" si="12"/>
        <v>4.7466188201022117</v>
      </c>
      <c r="M52" s="33">
        <f t="shared" si="13"/>
        <v>3.7972950560817695</v>
      </c>
      <c r="N52" s="33">
        <f t="shared" si="0"/>
        <v>4.9479366850865159</v>
      </c>
      <c r="O52" s="33">
        <f t="shared" si="1"/>
        <v>3.8460641098673101</v>
      </c>
      <c r="P52" s="33" t="str">
        <f t="shared" si="2"/>
        <v>False</v>
      </c>
      <c r="Q52" s="33">
        <f t="shared" si="3"/>
        <v>4.9479366850865159</v>
      </c>
      <c r="R52" s="33">
        <f t="shared" si="14"/>
        <v>0.94932376402044238</v>
      </c>
      <c r="S52" s="33">
        <f t="shared" si="4"/>
        <v>4.947936685086516E-2</v>
      </c>
      <c r="T52" s="33">
        <f t="shared" si="5"/>
        <v>0.19799825038111613</v>
      </c>
      <c r="U52" s="33">
        <f t="shared" si="6"/>
        <v>1.7365554933494909</v>
      </c>
      <c r="V52" s="67">
        <f t="shared" si="7"/>
        <v>12.153196916152446</v>
      </c>
      <c r="W52" s="33" t="str">
        <f t="shared" si="8"/>
        <v>False</v>
      </c>
      <c r="X52" s="70">
        <f t="shared" si="15"/>
        <v>0</v>
      </c>
      <c r="Y52" s="71" t="str">
        <f t="shared" si="16"/>
        <v>False</v>
      </c>
      <c r="Z52">
        <f t="shared" si="17"/>
        <v>0.74348018227785528</v>
      </c>
      <c r="AA52">
        <f t="shared" si="18"/>
        <v>0.54667055999999992</v>
      </c>
      <c r="AB52" s="78">
        <f t="shared" si="19"/>
        <v>1.4512518565404984</v>
      </c>
      <c r="AC52" s="78" t="str">
        <f t="shared" si="20"/>
        <v>False</v>
      </c>
    </row>
    <row r="53" spans="1:29" ht="12.75" customHeight="1" x14ac:dyDescent="0.15">
      <c r="A53" s="1"/>
      <c r="J53" s="33">
        <f t="shared" si="10"/>
        <v>8</v>
      </c>
      <c r="K53" s="33">
        <f t="shared" si="11"/>
        <v>2.6665115342204988</v>
      </c>
      <c r="L53" s="33">
        <f t="shared" si="12"/>
        <v>7.4131303543227105</v>
      </c>
      <c r="M53" s="33">
        <f t="shared" si="13"/>
        <v>5.930504283458168</v>
      </c>
      <c r="N53" s="33">
        <f t="shared" si="0"/>
        <v>5.848313078175666</v>
      </c>
      <c r="O53" s="33">
        <f t="shared" si="1"/>
        <v>5.3005527174054201</v>
      </c>
      <c r="P53" s="33" t="str">
        <f t="shared" si="2"/>
        <v>False</v>
      </c>
      <c r="Q53" s="33">
        <f t="shared" si="3"/>
        <v>5.848313078175666</v>
      </c>
      <c r="R53" s="33">
        <f t="shared" si="14"/>
        <v>1.482626070864542</v>
      </c>
      <c r="S53" s="33">
        <f t="shared" si="4"/>
        <v>5.8483130781756661E-2</v>
      </c>
      <c r="T53" s="33">
        <f t="shared" si="5"/>
        <v>0.2474400488058463</v>
      </c>
      <c r="U53" s="33">
        <f t="shared" si="6"/>
        <v>2.7121015458826649</v>
      </c>
      <c r="V53" s="67">
        <f t="shared" si="7"/>
        <v>13.586177210734675</v>
      </c>
      <c r="W53" s="33" t="str">
        <f t="shared" si="8"/>
        <v>False</v>
      </c>
      <c r="X53" s="70">
        <f t="shared" si="15"/>
        <v>0</v>
      </c>
      <c r="Y53" s="71" t="str">
        <f t="shared" si="16"/>
        <v>False</v>
      </c>
      <c r="Z53">
        <f t="shared" si="17"/>
        <v>0.92913332433445406</v>
      </c>
      <c r="AA53">
        <f t="shared" si="18"/>
        <v>0.54667055999999992</v>
      </c>
      <c r="AB53" s="78">
        <f t="shared" si="19"/>
        <v>1.7153362608527616</v>
      </c>
      <c r="AC53" s="78" t="str">
        <f t="shared" si="20"/>
        <v>False</v>
      </c>
    </row>
    <row r="54" spans="1:29" ht="12.75" customHeight="1" x14ac:dyDescent="0.15">
      <c r="A54" s="1"/>
      <c r="J54" s="33">
        <f t="shared" si="10"/>
        <v>9</v>
      </c>
      <c r="K54" s="33">
        <f t="shared" si="11"/>
        <v>3.4074772946405441</v>
      </c>
      <c r="L54" s="33">
        <f t="shared" si="12"/>
        <v>10.820607648963254</v>
      </c>
      <c r="M54" s="33">
        <f t="shared" si="13"/>
        <v>8.6564861191706033</v>
      </c>
      <c r="N54" s="33">
        <f t="shared" si="0"/>
        <v>6.7394486491961558</v>
      </c>
      <c r="O54" s="33">
        <f t="shared" si="1"/>
        <v>6.5344290153617912</v>
      </c>
      <c r="P54" s="33" t="str">
        <f t="shared" si="2"/>
        <v>False</v>
      </c>
      <c r="Q54" s="33">
        <f t="shared" si="3"/>
        <v>6.7394486491961558</v>
      </c>
      <c r="R54" s="33">
        <f t="shared" si="14"/>
        <v>2.1641215297926508</v>
      </c>
      <c r="S54" s="33">
        <f t="shared" si="4"/>
        <v>6.7394486491961558E-2</v>
      </c>
      <c r="T54" s="33">
        <f t="shared" si="5"/>
        <v>0.29894755043519766</v>
      </c>
      <c r="U54" s="33">
        <f t="shared" si="6"/>
        <v>3.9587307020752154</v>
      </c>
      <c r="V54" s="67">
        <f t="shared" si="7"/>
        <v>14.933507739920405</v>
      </c>
      <c r="W54" s="33" t="str">
        <f t="shared" si="8"/>
        <v>False</v>
      </c>
      <c r="X54" s="70">
        <f t="shared" si="15"/>
        <v>0</v>
      </c>
      <c r="Y54" s="71" t="str">
        <f t="shared" si="16"/>
        <v>False</v>
      </c>
      <c r="Z54">
        <f t="shared" si="17"/>
        <v>1.1225431480392367</v>
      </c>
      <c r="AA54">
        <f t="shared" si="18"/>
        <v>0.54667055999999992</v>
      </c>
      <c r="AB54" s="78">
        <f t="shared" si="19"/>
        <v>1.9767102909147793</v>
      </c>
      <c r="AC54" s="78" t="str">
        <f t="shared" si="20"/>
        <v>False</v>
      </c>
    </row>
    <row r="55" spans="1:29" ht="12.75" customHeight="1" x14ac:dyDescent="0.15">
      <c r="A55" s="2"/>
      <c r="B55" s="68"/>
      <c r="C55" s="68"/>
      <c r="D55" s="68"/>
      <c r="E55" s="68"/>
      <c r="F55" s="68"/>
      <c r="G55" s="68"/>
      <c r="H55" s="68"/>
      <c r="I55" s="68"/>
      <c r="J55" s="68">
        <f t="shared" si="10"/>
        <v>10</v>
      </c>
      <c r="K55" s="33">
        <f t="shared" si="11"/>
        <v>4.1953720234547411</v>
      </c>
      <c r="L55" s="33">
        <f t="shared" si="12"/>
        <v>15.015979672417995</v>
      </c>
      <c r="M55" s="33">
        <f t="shared" si="13"/>
        <v>12.012783737934397</v>
      </c>
      <c r="N55" s="33">
        <f t="shared" si="0"/>
        <v>7.6205729831329991</v>
      </c>
      <c r="O55" s="33">
        <f t="shared" si="1"/>
        <v>7.6034279670271765</v>
      </c>
      <c r="P55" s="33" t="str">
        <f t="shared" si="2"/>
        <v>False</v>
      </c>
      <c r="Q55" s="33">
        <f t="shared" si="3"/>
        <v>7.6205729831329991</v>
      </c>
      <c r="R55" s="33">
        <f t="shared" si="14"/>
        <v>3.0031959344835992</v>
      </c>
      <c r="S55" s="33">
        <f t="shared" si="4"/>
        <v>7.6205729831329991E-2</v>
      </c>
      <c r="T55" s="33">
        <f t="shared" si="5"/>
        <v>0.35216485300276068</v>
      </c>
      <c r="U55" s="33">
        <f t="shared" si="6"/>
        <v>5.49361197442862</v>
      </c>
      <c r="V55" s="67">
        <f t="shared" si="7"/>
        <v>16.20836154701226</v>
      </c>
      <c r="W55" s="33" t="str">
        <f t="shared" si="8"/>
        <v>False</v>
      </c>
      <c r="X55" s="70">
        <f t="shared" si="15"/>
        <v>1.1829776532417263E-16</v>
      </c>
      <c r="Y55" s="71" t="str">
        <f t="shared" si="16"/>
        <v>False</v>
      </c>
      <c r="Z55">
        <f t="shared" si="17"/>
        <v>1.3223732462199482</v>
      </c>
      <c r="AA55">
        <f t="shared" si="18"/>
        <v>0.54667055999999992</v>
      </c>
      <c r="AB55" s="78">
        <f t="shared" si="19"/>
        <v>2.2351479805729877</v>
      </c>
      <c r="AC55" s="78" t="str">
        <f t="shared" si="20"/>
        <v>False</v>
      </c>
    </row>
    <row r="56" spans="1:29" ht="12.75" customHeight="1" x14ac:dyDescent="0.15">
      <c r="A56" s="1"/>
      <c r="J56" s="33">
        <f t="shared" si="10"/>
        <v>11</v>
      </c>
      <c r="K56" s="33">
        <f t="shared" si="11"/>
        <v>5.0238491419194471</v>
      </c>
      <c r="L56" s="33">
        <f t="shared" si="12"/>
        <v>20.039828814337444</v>
      </c>
      <c r="M56" s="33">
        <f t="shared" si="13"/>
        <v>16.031863051469955</v>
      </c>
      <c r="N56" s="33">
        <f t="shared" si="0"/>
        <v>8.4916141605412534</v>
      </c>
      <c r="O56" s="33">
        <f t="shared" si="1"/>
        <v>8.5450076142680267</v>
      </c>
      <c r="P56" s="33" t="str">
        <f t="shared" si="2"/>
        <v>True</v>
      </c>
      <c r="Q56" s="33">
        <f t="shared" si="3"/>
        <v>8.5450076142680267</v>
      </c>
      <c r="R56" s="33">
        <f t="shared" si="14"/>
        <v>3.6854950092991308</v>
      </c>
      <c r="S56" s="33">
        <f t="shared" si="4"/>
        <v>8.4916141605412526E-2</v>
      </c>
      <c r="T56" s="33">
        <f t="shared" si="5"/>
        <v>0.3901234804497663</v>
      </c>
      <c r="U56" s="33">
        <f t="shared" si="6"/>
        <v>6.7417111492141286</v>
      </c>
      <c r="V56" s="67">
        <f t="shared" si="7"/>
        <v>17.421107724691026</v>
      </c>
      <c r="W56" s="33" t="str">
        <f t="shared" si="8"/>
        <v>False</v>
      </c>
      <c r="X56" s="70">
        <f t="shared" si="15"/>
        <v>1.6091492425207056E-2</v>
      </c>
      <c r="Y56" s="71" t="str">
        <f t="shared" si="16"/>
        <v>False</v>
      </c>
      <c r="Z56">
        <f t="shared" si="17"/>
        <v>1.4649072696216447</v>
      </c>
      <c r="AA56">
        <f t="shared" si="18"/>
        <v>0.54667055999999992</v>
      </c>
      <c r="AB56" s="78">
        <f t="shared" si="19"/>
        <v>2.4906282355340204</v>
      </c>
      <c r="AC56" s="78" t="str">
        <f t="shared" si="20"/>
        <v>False</v>
      </c>
    </row>
    <row r="57" spans="1:29" ht="12.75" customHeight="1" x14ac:dyDescent="0.15">
      <c r="A57" s="1"/>
      <c r="J57" s="33">
        <f t="shared" si="10"/>
        <v>12</v>
      </c>
      <c r="K57" s="33">
        <f t="shared" si="11"/>
        <v>5.6226141057964147</v>
      </c>
      <c r="L57" s="33">
        <f t="shared" si="12"/>
        <v>25.339972166565502</v>
      </c>
      <c r="M57" s="33">
        <f t="shared" si="13"/>
        <v>20.529954336107089</v>
      </c>
      <c r="N57" s="33">
        <f t="shared" si="0"/>
        <v>9.3167994792704718</v>
      </c>
      <c r="O57" s="33">
        <f t="shared" si="1"/>
        <v>9.3518461279241656</v>
      </c>
      <c r="P57" s="33" t="str">
        <f t="shared" si="2"/>
        <v>True</v>
      </c>
      <c r="Q57" s="33">
        <f t="shared" si="3"/>
        <v>9.3518461279241656</v>
      </c>
      <c r="R57" s="33">
        <f t="shared" si="14"/>
        <v>4.4365851296655423</v>
      </c>
      <c r="S57" s="33">
        <f t="shared" si="4"/>
        <v>9.3167994792704711E-2</v>
      </c>
      <c r="T57" s="33">
        <f t="shared" si="5"/>
        <v>0.42803431371096251</v>
      </c>
      <c r="U57" s="33">
        <f t="shared" si="6"/>
        <v>8.1156467062457924</v>
      </c>
      <c r="V57" s="67">
        <f t="shared" si="7"/>
        <v>18.532248116570376</v>
      </c>
      <c r="W57" s="33" t="str">
        <f t="shared" si="8"/>
        <v>False</v>
      </c>
      <c r="X57" s="70">
        <f t="shared" si="15"/>
        <v>1.4736902563989114E-2</v>
      </c>
      <c r="Y57" s="71" t="str">
        <f t="shared" si="16"/>
        <v>False</v>
      </c>
      <c r="Z57">
        <f t="shared" si="17"/>
        <v>1.6072618266396281</v>
      </c>
      <c r="AA57">
        <f t="shared" si="18"/>
        <v>0.54667055999999992</v>
      </c>
      <c r="AB57" s="78">
        <f t="shared" si="19"/>
        <v>2.7326587630072718</v>
      </c>
      <c r="AC57" s="78" t="str">
        <f t="shared" si="20"/>
        <v>False</v>
      </c>
    </row>
    <row r="58" spans="1:29" ht="12.75" customHeight="1" x14ac:dyDescent="0.15">
      <c r="A58" s="1"/>
      <c r="J58" s="33">
        <f t="shared" si="10"/>
        <v>13</v>
      </c>
      <c r="K58" s="33">
        <f t="shared" si="11"/>
        <v>6.2264775031112212</v>
      </c>
      <c r="L58" s="33">
        <f t="shared" si="12"/>
        <v>31.193016968883853</v>
      </c>
      <c r="M58" s="33">
        <f t="shared" si="13"/>
        <v>25.511136338596067</v>
      </c>
      <c r="N58" s="33">
        <f t="shared" si="0"/>
        <v>10.107527488717094</v>
      </c>
      <c r="O58" s="33">
        <f t="shared" si="1"/>
        <v>10.060559228736647</v>
      </c>
      <c r="P58" s="33" t="str">
        <f t="shared" si="2"/>
        <v>True</v>
      </c>
      <c r="Q58" s="33">
        <f t="shared" si="3"/>
        <v>10.060559228736647</v>
      </c>
      <c r="R58" s="33">
        <f t="shared" si="14"/>
        <v>5.2216190544643313</v>
      </c>
      <c r="S58" s="33">
        <f t="shared" si="4"/>
        <v>0.10107527488717094</v>
      </c>
      <c r="T58" s="33">
        <f t="shared" si="5"/>
        <v>0.4643621021976182</v>
      </c>
      <c r="U58" s="33">
        <f t="shared" si="6"/>
        <v>9.5516741462432719</v>
      </c>
      <c r="V58" s="67">
        <f t="shared" si="7"/>
        <v>19.566571778860883</v>
      </c>
      <c r="W58" s="33" t="str">
        <f t="shared" si="8"/>
        <v>False</v>
      </c>
      <c r="X58" s="70">
        <f t="shared" si="15"/>
        <v>1.4755276037665192E-2</v>
      </c>
      <c r="Y58" s="71" t="str">
        <f t="shared" si="16"/>
        <v>False</v>
      </c>
      <c r="Z58">
        <f t="shared" si="17"/>
        <v>1.7436720764969977</v>
      </c>
      <c r="AA58">
        <f t="shared" si="18"/>
        <v>0.54667056000000003</v>
      </c>
      <c r="AB58" s="78">
        <f t="shared" si="19"/>
        <v>2.9645828082738128</v>
      </c>
      <c r="AC58" s="78" t="str">
        <f t="shared" si="20"/>
        <v>False</v>
      </c>
    </row>
    <row r="59" spans="1:29" ht="12.75" customHeight="1" x14ac:dyDescent="0.15">
      <c r="A59" s="1"/>
      <c r="J59" s="33">
        <f t="shared" si="10"/>
        <v>14</v>
      </c>
      <c r="K59" s="33">
        <f t="shared" si="11"/>
        <v>6.8101773856129739</v>
      </c>
      <c r="L59" s="33">
        <f t="shared" si="12"/>
        <v>37.542932778673375</v>
      </c>
      <c r="M59" s="33">
        <f t="shared" si="13"/>
        <v>30.959278247086445</v>
      </c>
      <c r="N59" s="33">
        <f t="shared" si="0"/>
        <v>10.868455086492252</v>
      </c>
      <c r="O59" s="33">
        <f t="shared" si="1"/>
        <v>10.692041094572208</v>
      </c>
      <c r="P59" s="33" t="str">
        <f t="shared" si="2"/>
        <v>True</v>
      </c>
      <c r="Q59" s="33">
        <f t="shared" si="3"/>
        <v>10.692041094572208</v>
      </c>
      <c r="R59" s="33">
        <f t="shared" si="14"/>
        <v>6.0374139272073002</v>
      </c>
      <c r="S59" s="33">
        <f t="shared" si="4"/>
        <v>0.10868455086492253</v>
      </c>
      <c r="T59" s="33">
        <f t="shared" si="5"/>
        <v>0.49932079405549268</v>
      </c>
      <c r="U59" s="33">
        <f t="shared" si="6"/>
        <v>11.043971212218381</v>
      </c>
      <c r="V59" s="67">
        <f t="shared" si="7"/>
        <v>20.536718353643447</v>
      </c>
      <c r="W59" s="33" t="str">
        <f t="shared" si="8"/>
        <v>False</v>
      </c>
      <c r="X59" s="70">
        <f t="shared" si="15"/>
        <v>1.4549758475180467E-2</v>
      </c>
      <c r="Y59" s="71" t="str">
        <f t="shared" si="16"/>
        <v>False</v>
      </c>
      <c r="Z59">
        <f t="shared" si="17"/>
        <v>1.8749413909715402</v>
      </c>
      <c r="AA59">
        <f t="shared" si="18"/>
        <v>0.54667055999999992</v>
      </c>
      <c r="AB59" s="78">
        <f t="shared" si="19"/>
        <v>3.1877662601341701</v>
      </c>
      <c r="AC59" s="78" t="str">
        <f t="shared" si="20"/>
        <v>False</v>
      </c>
    </row>
    <row r="60" spans="1:29" ht="12.75" customHeight="1" x14ac:dyDescent="0.15">
      <c r="A60" s="2"/>
      <c r="B60" s="68"/>
      <c r="C60" s="68"/>
      <c r="D60" s="68"/>
      <c r="E60" s="68"/>
      <c r="F60" s="68"/>
      <c r="G60" s="68"/>
      <c r="H60" s="68"/>
      <c r="I60" s="68"/>
      <c r="J60" s="68">
        <f t="shared" si="10"/>
        <v>15</v>
      </c>
      <c r="K60" s="33">
        <f t="shared" si="11"/>
        <v>7.3762155014162625</v>
      </c>
      <c r="L60" s="33">
        <f t="shared" si="12"/>
        <v>44.372907675710003</v>
      </c>
      <c r="M60" s="33">
        <f t="shared" si="13"/>
        <v>36.860250648219456</v>
      </c>
      <c r="N60" s="33">
        <f t="shared" si="0"/>
        <v>11.603275695044417</v>
      </c>
      <c r="O60" s="33">
        <f t="shared" si="1"/>
        <v>11.261220159948628</v>
      </c>
      <c r="P60" s="33" t="str">
        <f t="shared" si="2"/>
        <v>True</v>
      </c>
      <c r="Q60" s="33">
        <f t="shared" si="3"/>
        <v>11.261220159948628</v>
      </c>
      <c r="R60" s="33">
        <f t="shared" si="14"/>
        <v>6.8813959059328793</v>
      </c>
      <c r="S60" s="33">
        <f t="shared" si="4"/>
        <v>0.11603275695044417</v>
      </c>
      <c r="T60" s="33">
        <f t="shared" si="5"/>
        <v>0.53308007325669382</v>
      </c>
      <c r="U60" s="33">
        <f t="shared" si="6"/>
        <v>12.587829690212109</v>
      </c>
      <c r="V60" s="67">
        <f t="shared" si="7"/>
        <v>21.452299833768606</v>
      </c>
      <c r="W60" s="33" t="str">
        <f t="shared" si="8"/>
        <v>False</v>
      </c>
      <c r="X60" s="70">
        <f t="shared" si="15"/>
        <v>1.4226273521922635E-2</v>
      </c>
      <c r="Y60" s="71" t="str">
        <f t="shared" si="16"/>
        <v>False</v>
      </c>
      <c r="Z60">
        <f t="shared" si="17"/>
        <v>2.0017069305950752</v>
      </c>
      <c r="AA60">
        <f t="shared" si="18"/>
        <v>0.54667055999999992</v>
      </c>
      <c r="AB60" s="78">
        <f t="shared" si="19"/>
        <v>3.4032924158345437</v>
      </c>
      <c r="AC60" s="78" t="str">
        <f t="shared" si="20"/>
        <v>False</v>
      </c>
    </row>
    <row r="61" spans="1:29" ht="12.75" customHeight="1" x14ac:dyDescent="0.15">
      <c r="A61" s="1"/>
      <c r="J61" s="33">
        <f t="shared" si="10"/>
        <v>16</v>
      </c>
      <c r="K61" s="33">
        <f t="shared" si="11"/>
        <v>7.926613312357345</v>
      </c>
      <c r="L61" s="33">
        <f t="shared" si="12"/>
        <v>51.668259866509679</v>
      </c>
      <c r="M61" s="33">
        <f t="shared" si="13"/>
        <v>43.201541298105333</v>
      </c>
      <c r="N61" s="33">
        <f t="shared" si="0"/>
        <v>12.3149731767221</v>
      </c>
      <c r="O61" s="33">
        <f t="shared" si="1"/>
        <v>11.779117307110404</v>
      </c>
      <c r="P61" s="33" t="str">
        <f t="shared" si="2"/>
        <v>True</v>
      </c>
      <c r="Q61" s="33">
        <f t="shared" si="3"/>
        <v>11.779117307110404</v>
      </c>
      <c r="R61" s="33">
        <f t="shared" si="14"/>
        <v>7.7514377331063358</v>
      </c>
      <c r="S61" s="33">
        <f t="shared" si="4"/>
        <v>0.12314973176722101</v>
      </c>
      <c r="T61" s="33">
        <f t="shared" si="5"/>
        <v>0.5657770250175983</v>
      </c>
      <c r="U61" s="33">
        <f t="shared" si="6"/>
        <v>14.179358283179427</v>
      </c>
      <c r="V61" s="67">
        <f t="shared" si="7"/>
        <v>22.320810451630347</v>
      </c>
      <c r="W61" s="33" t="str">
        <f t="shared" si="8"/>
        <v>False</v>
      </c>
      <c r="X61" s="70">
        <f t="shared" si="15"/>
        <v>1.3843718312674214E-2</v>
      </c>
      <c r="Y61" s="71" t="str">
        <f t="shared" si="16"/>
        <v>False</v>
      </c>
      <c r="Z61">
        <f t="shared" si="17"/>
        <v>2.1244834481063939</v>
      </c>
      <c r="AA61">
        <f t="shared" si="18"/>
        <v>0.54667056000000003</v>
      </c>
      <c r="AB61" s="78">
        <f t="shared" si="19"/>
        <v>3.6120364554850579</v>
      </c>
      <c r="AC61" s="78" t="str">
        <f t="shared" si="20"/>
        <v>False</v>
      </c>
    </row>
    <row r="62" spans="1:29" ht="12.75" customHeight="1" x14ac:dyDescent="0.15">
      <c r="A62" s="1"/>
      <c r="J62" s="33">
        <f t="shared" si="10"/>
        <v>17</v>
      </c>
      <c r="K62" s="33">
        <f t="shared" si="11"/>
        <v>8.4630287690544872</v>
      </c>
      <c r="L62" s="33">
        <f t="shared" si="12"/>
        <v>59.416007800266158</v>
      </c>
      <c r="M62" s="33">
        <f t="shared" si="13"/>
        <v>49.97196431334892</v>
      </c>
      <c r="N62" s="33">
        <f t="shared" si="0"/>
        <v>13.005997394050425</v>
      </c>
      <c r="O62" s="33">
        <f t="shared" si="1"/>
        <v>12.254091506914889</v>
      </c>
      <c r="P62" s="33" t="str">
        <f t="shared" si="2"/>
        <v>True</v>
      </c>
      <c r="Q62" s="33">
        <f t="shared" si="3"/>
        <v>12.254091506914889</v>
      </c>
      <c r="R62" s="33">
        <f t="shared" si="14"/>
        <v>8.6457494864957063</v>
      </c>
      <c r="S62" s="33">
        <f t="shared" si="4"/>
        <v>0.13005997394050425</v>
      </c>
      <c r="T62" s="33">
        <f t="shared" si="5"/>
        <v>0.59752420142510698</v>
      </c>
      <c r="U62" s="33">
        <f t="shared" si="6"/>
        <v>15.815282766453908</v>
      </c>
      <c r="V62" s="67">
        <f t="shared" si="7"/>
        <v>23.148216988753635</v>
      </c>
      <c r="W62" s="33" t="str">
        <f t="shared" si="8"/>
        <v>False</v>
      </c>
      <c r="X62" s="70">
        <f t="shared" si="15"/>
        <v>1.3435672135783568E-2</v>
      </c>
      <c r="Y62" s="71" t="str">
        <f t="shared" si="16"/>
        <v>False</v>
      </c>
      <c r="Z62">
        <f t="shared" si="17"/>
        <v>2.2436935747455378</v>
      </c>
      <c r="AA62">
        <f t="shared" si="18"/>
        <v>0.54667055999999992</v>
      </c>
      <c r="AB62" s="78">
        <f t="shared" si="19"/>
        <v>3.8147169346704222</v>
      </c>
      <c r="AC62" s="78" t="str">
        <f t="shared" si="20"/>
        <v>False</v>
      </c>
    </row>
    <row r="63" spans="1:29" ht="12.75" customHeight="1" x14ac:dyDescent="0.15">
      <c r="A63" s="1"/>
      <c r="J63" s="33">
        <f t="shared" si="10"/>
        <v>18</v>
      </c>
      <c r="K63" s="33">
        <f t="shared" si="11"/>
        <v>8.9868403974075601</v>
      </c>
      <c r="L63" s="33">
        <f t="shared" si="12"/>
        <v>67.604554197252185</v>
      </c>
      <c r="M63" s="33">
        <f t="shared" si="13"/>
        <v>57.161436631274967</v>
      </c>
      <c r="N63" s="33">
        <f t="shared" si="0"/>
        <v>13.678388369578547</v>
      </c>
      <c r="O63" s="33">
        <f t="shared" si="1"/>
        <v>12.692628117216849</v>
      </c>
      <c r="P63" s="33" t="str">
        <f t="shared" si="2"/>
        <v>True</v>
      </c>
      <c r="Q63" s="33">
        <f t="shared" si="3"/>
        <v>12.692628117216849</v>
      </c>
      <c r="R63" s="33">
        <f t="shared" si="14"/>
        <v>9.5628024287722226</v>
      </c>
      <c r="S63" s="33">
        <f t="shared" si="4"/>
        <v>0.13678388369578548</v>
      </c>
      <c r="T63" s="33">
        <f t="shared" si="5"/>
        <v>0.62841532561383551</v>
      </c>
      <c r="U63" s="33">
        <f t="shared" si="6"/>
        <v>17.492806689228377</v>
      </c>
      <c r="V63" s="67">
        <f t="shared" si="7"/>
        <v>23.939355440529443</v>
      </c>
      <c r="W63" s="33" t="str">
        <f t="shared" si="8"/>
        <v>False</v>
      </c>
      <c r="X63" s="70">
        <f t="shared" si="15"/>
        <v>1.3021536014222889E-2</v>
      </c>
      <c r="Y63" s="71" t="str">
        <f t="shared" si="16"/>
        <v>False</v>
      </c>
      <c r="Z63">
        <f t="shared" si="17"/>
        <v>2.3596892393455833</v>
      </c>
      <c r="AA63">
        <f t="shared" si="18"/>
        <v>0.54667056000000003</v>
      </c>
      <c r="AB63" s="78">
        <f t="shared" si="19"/>
        <v>4.0119322010859024</v>
      </c>
      <c r="AC63" s="78" t="str">
        <f t="shared" si="20"/>
        <v>False</v>
      </c>
    </row>
    <row r="64" spans="1:29" ht="12.75" customHeight="1" x14ac:dyDescent="0.15">
      <c r="A64" s="1"/>
      <c r="J64" s="33">
        <f t="shared" si="10"/>
        <v>19</v>
      </c>
      <c r="K64" s="33">
        <f t="shared" si="11"/>
        <v>9.4992085714643508</v>
      </c>
      <c r="L64" s="33">
        <f t="shared" si="12"/>
        <v>76.223447631511533</v>
      </c>
      <c r="M64" s="33">
        <f t="shared" si="13"/>
        <v>64.760803488446442</v>
      </c>
      <c r="N64" s="33">
        <f t="shared" si="0"/>
        <v>14.333866007261284</v>
      </c>
      <c r="O64" s="33">
        <f t="shared" si="1"/>
        <v>13.099856791703864</v>
      </c>
      <c r="P64" s="33" t="str">
        <f t="shared" si="2"/>
        <v>True</v>
      </c>
      <c r="Q64" s="33">
        <f t="shared" si="3"/>
        <v>13.099856791703864</v>
      </c>
      <c r="R64" s="33">
        <f t="shared" si="14"/>
        <v>10.501274307610604</v>
      </c>
      <c r="S64" s="33">
        <f t="shared" si="4"/>
        <v>0.14333866007261284</v>
      </c>
      <c r="T64" s="33">
        <f t="shared" si="5"/>
        <v>0.6585294137642419</v>
      </c>
      <c r="U64" s="33">
        <f t="shared" si="6"/>
        <v>19.209511314475403</v>
      </c>
      <c r="V64" s="67">
        <f t="shared" si="7"/>
        <v>24.698205730088461</v>
      </c>
      <c r="W64" s="33" t="str">
        <f t="shared" si="8"/>
        <v>False</v>
      </c>
      <c r="X64" s="70">
        <f t="shared" si="15"/>
        <v>1.2612521019805603E-2</v>
      </c>
      <c r="Y64" s="71" t="str">
        <f t="shared" si="16"/>
        <v>False</v>
      </c>
      <c r="Z64">
        <f t="shared" si="17"/>
        <v>2.4727671463679926</v>
      </c>
      <c r="AA64">
        <f t="shared" si="18"/>
        <v>0.54667055999999992</v>
      </c>
      <c r="AB64" s="78">
        <f t="shared" si="19"/>
        <v>4.2041867102179689</v>
      </c>
      <c r="AC64" s="78" t="str">
        <f t="shared" si="20"/>
        <v>False</v>
      </c>
    </row>
    <row r="65" spans="1:29" ht="12.75" customHeight="1" x14ac:dyDescent="0.15">
      <c r="A65" s="2"/>
      <c r="B65" s="68"/>
      <c r="C65" s="68"/>
      <c r="D65" s="68"/>
      <c r="E65" s="68"/>
      <c r="F65" s="68"/>
      <c r="G65" s="68"/>
      <c r="H65" s="68"/>
      <c r="I65" s="68"/>
      <c r="J65" s="68">
        <f t="shared" si="10"/>
        <v>20</v>
      </c>
      <c r="K65" s="33">
        <f t="shared" si="11"/>
        <v>10.001120831371741</v>
      </c>
      <c r="L65" s="33">
        <f t="shared" si="12"/>
        <v>85.263198627428778</v>
      </c>
      <c r="M65" s="33">
        <f t="shared" si="13"/>
        <v>72.761700153543842</v>
      </c>
      <c r="N65" s="33">
        <f t="shared" si="0"/>
        <v>14.973896228286906</v>
      </c>
      <c r="O65" s="33">
        <f t="shared" si="1"/>
        <v>13.479902754728684</v>
      </c>
      <c r="P65" s="33" t="str">
        <f t="shared" si="2"/>
        <v>True</v>
      </c>
      <c r="Q65" s="33">
        <f t="shared" si="3"/>
        <v>13.479902754728684</v>
      </c>
      <c r="R65" s="33">
        <f t="shared" si="14"/>
        <v>11.460009044170247</v>
      </c>
      <c r="S65" s="33">
        <f t="shared" si="4"/>
        <v>0.14973896228286906</v>
      </c>
      <c r="T65" s="33">
        <f t="shared" si="5"/>
        <v>0.68793381352840111</v>
      </c>
      <c r="U65" s="33">
        <f t="shared" si="6"/>
        <v>20.963281878889266</v>
      </c>
      <c r="V65" s="67">
        <f t="shared" si="7"/>
        <v>25.42808700323739</v>
      </c>
      <c r="W65" s="33" t="str">
        <f t="shared" si="8"/>
        <v>False</v>
      </c>
      <c r="X65" s="70">
        <f t="shared" si="15"/>
        <v>1.2214993648850102E-2</v>
      </c>
      <c r="Y65" s="71" t="str">
        <f t="shared" si="16"/>
        <v>False</v>
      </c>
      <c r="Z65">
        <f t="shared" si="17"/>
        <v>2.5831801851415559</v>
      </c>
      <c r="AA65">
        <f t="shared" si="18"/>
        <v>0.54667056000000003</v>
      </c>
      <c r="AB65" s="78">
        <f t="shared" si="19"/>
        <v>4.3919104232770048</v>
      </c>
      <c r="AC65" s="78" t="str">
        <f t="shared" si="20"/>
        <v>False</v>
      </c>
    </row>
    <row r="66" spans="1:29" ht="12.75" customHeight="1" x14ac:dyDescent="0.15">
      <c r="A66" s="1"/>
      <c r="J66" s="33">
        <f t="shared" si="10"/>
        <v>21</v>
      </c>
      <c r="K66" s="33">
        <f t="shared" si="11"/>
        <v>10.493425920595074</v>
      </c>
      <c r="L66" s="33">
        <f t="shared" si="12"/>
        <v>94.715135118309163</v>
      </c>
      <c r="M66" s="33">
        <f t="shared" si="13"/>
        <v>81.156440890019894</v>
      </c>
      <c r="N66" s="33">
        <f t="shared" si="0"/>
        <v>15.599740609784188</v>
      </c>
      <c r="O66" s="33">
        <f t="shared" si="1"/>
        <v>13.836131674795649</v>
      </c>
      <c r="P66" s="33" t="str">
        <f t="shared" si="2"/>
        <v>True</v>
      </c>
      <c r="Q66" s="33">
        <f t="shared" si="3"/>
        <v>13.836131674795649</v>
      </c>
      <c r="R66" s="33">
        <f t="shared" si="14"/>
        <v>12.437986362508108</v>
      </c>
      <c r="S66" s="33">
        <f t="shared" si="4"/>
        <v>0.15599740609784188</v>
      </c>
      <c r="T66" s="33">
        <f t="shared" si="5"/>
        <v>0.71668648454166906</v>
      </c>
      <c r="U66" s="33">
        <f t="shared" si="6"/>
        <v>22.75225203732959</v>
      </c>
      <c r="V66" s="67">
        <f t="shared" si="7"/>
        <v>26.131799666538694</v>
      </c>
      <c r="W66" s="33" t="str">
        <f t="shared" si="8"/>
        <v>False</v>
      </c>
      <c r="X66" s="70">
        <f t="shared" si="15"/>
        <v>1.1832405289622134E-2</v>
      </c>
      <c r="Y66" s="71" t="str">
        <f t="shared" si="16"/>
        <v>False</v>
      </c>
      <c r="Z66">
        <f t="shared" si="17"/>
        <v>2.6911459931462844</v>
      </c>
      <c r="AA66">
        <f t="shared" si="18"/>
        <v>0.54667056000000003</v>
      </c>
      <c r="AB66" s="78">
        <f t="shared" si="19"/>
        <v>4.5754733664510621</v>
      </c>
      <c r="AC66" s="78" t="str">
        <f t="shared" si="20"/>
        <v>False</v>
      </c>
    </row>
    <row r="67" spans="1:29" ht="12.75" customHeight="1" x14ac:dyDescent="0.15">
      <c r="A67" s="1"/>
      <c r="J67" s="33">
        <f t="shared" si="10"/>
        <v>22</v>
      </c>
      <c r="K67" s="33">
        <f t="shared" si="11"/>
        <v>10.976859733969166</v>
      </c>
      <c r="L67" s="33">
        <f t="shared" si="12"/>
        <v>104.57128698649717</v>
      </c>
      <c r="M67" s="33">
        <f t="shared" si="13"/>
        <v>89.937928677195231</v>
      </c>
      <c r="N67" s="33">
        <f t="shared" si="0"/>
        <v>16.212494255269611</v>
      </c>
      <c r="O67" s="33">
        <f t="shared" si="1"/>
        <v>14.171324481039035</v>
      </c>
      <c r="P67" s="33" t="str">
        <f t="shared" si="2"/>
        <v>True</v>
      </c>
      <c r="Q67" s="33">
        <f t="shared" si="3"/>
        <v>14.171324481039035</v>
      </c>
      <c r="R67" s="33">
        <f t="shared" si="14"/>
        <v>13.434298465498784</v>
      </c>
      <c r="S67" s="33">
        <f t="shared" si="4"/>
        <v>0.16212494255269611</v>
      </c>
      <c r="T67" s="33">
        <f t="shared" si="5"/>
        <v>0.74483773827454214</v>
      </c>
      <c r="U67" s="33">
        <f t="shared" si="6"/>
        <v>24.574761197125351</v>
      </c>
      <c r="V67" s="67">
        <f t="shared" si="7"/>
        <v>26.811730782428207</v>
      </c>
      <c r="W67" s="33" t="str">
        <f t="shared" si="8"/>
        <v>False</v>
      </c>
      <c r="X67" s="70">
        <f t="shared" si="15"/>
        <v>1.1466434796369914E-2</v>
      </c>
      <c r="Y67" s="71" t="str">
        <f t="shared" si="16"/>
        <v>False</v>
      </c>
      <c r="Z67">
        <f t="shared" si="17"/>
        <v>2.7968534891285968</v>
      </c>
      <c r="AA67">
        <f t="shared" si="18"/>
        <v>0.54667055999999992</v>
      </c>
      <c r="AB67" s="78">
        <f t="shared" si="19"/>
        <v>4.7551967384766138</v>
      </c>
      <c r="AC67" s="78" t="str">
        <f t="shared" si="20"/>
        <v>False</v>
      </c>
    </row>
    <row r="68" spans="1:29" ht="12.75" customHeight="1" x14ac:dyDescent="0.15">
      <c r="A68" s="2"/>
      <c r="B68" s="68"/>
      <c r="C68" s="68"/>
      <c r="D68" s="68"/>
      <c r="E68" s="68"/>
      <c r="J68" s="33">
        <f t="shared" si="10"/>
        <v>23</v>
      </c>
      <c r="K68" s="33">
        <f t="shared" si="11"/>
        <v>11.452065377962999</v>
      </c>
      <c r="L68" s="33">
        <f t="shared" si="12"/>
        <v>114.82429252065701</v>
      </c>
      <c r="M68" s="33">
        <f t="shared" si="13"/>
        <v>99.09958097956563</v>
      </c>
      <c r="N68" s="33">
        <f t="shared" si="0"/>
        <v>16.813115116852071</v>
      </c>
      <c r="O68" s="33">
        <f t="shared" si="1"/>
        <v>14.487804800951592</v>
      </c>
      <c r="P68" s="33" t="str">
        <f t="shared" si="2"/>
        <v>True</v>
      </c>
      <c r="Q68" s="33">
        <f t="shared" si="3"/>
        <v>14.487804800951592</v>
      </c>
      <c r="R68" s="33">
        <f t="shared" si="14"/>
        <v>14.448131818773227</v>
      </c>
      <c r="S68" s="33">
        <f t="shared" si="4"/>
        <v>0.1681311511685207</v>
      </c>
      <c r="T68" s="33">
        <f t="shared" si="5"/>
        <v>0.77243158515940247</v>
      </c>
      <c r="U68" s="33">
        <f t="shared" si="6"/>
        <v>26.429321196248853</v>
      </c>
      <c r="V68" s="67">
        <f t="shared" si="7"/>
        <v>27.469933673245688</v>
      </c>
      <c r="W68" s="33" t="str">
        <f t="shared" si="8"/>
        <v>False</v>
      </c>
      <c r="X68" s="70">
        <f t="shared" si="15"/>
        <v>1.1117679841907048E-2</v>
      </c>
      <c r="Y68" s="71" t="str">
        <f t="shared" si="16"/>
        <v>False</v>
      </c>
      <c r="Z68">
        <f t="shared" si="17"/>
        <v>2.9004679315401543</v>
      </c>
      <c r="AA68">
        <f t="shared" si="18"/>
        <v>0.54667055999999992</v>
      </c>
      <c r="AB68" s="78">
        <f t="shared" si="19"/>
        <v>4.9313615109717288</v>
      </c>
      <c r="AC68" s="78" t="str">
        <f t="shared" si="20"/>
        <v>False</v>
      </c>
    </row>
    <row r="69" spans="1:29" ht="12.75" customHeight="1" x14ac:dyDescent="0.15">
      <c r="A69" s="1"/>
      <c r="J69" s="33">
        <f t="shared" si="10"/>
        <v>24</v>
      </c>
      <c r="K69" s="33">
        <f t="shared" si="11"/>
        <v>11.919608881933467</v>
      </c>
      <c r="L69" s="33">
        <f t="shared" si="12"/>
        <v>125.46732168027233</v>
      </c>
      <c r="M69" s="33">
        <f t="shared" si="13"/>
        <v>108.6352680851124</v>
      </c>
      <c r="N69" s="33">
        <f t="shared" si="0"/>
        <v>17.402447004447595</v>
      </c>
      <c r="O69" s="33">
        <f t="shared" si="1"/>
        <v>14.787533592221623</v>
      </c>
      <c r="P69" s="33" t="str">
        <f t="shared" si="2"/>
        <v>True</v>
      </c>
      <c r="Q69" s="33">
        <f t="shared" si="3"/>
        <v>14.787533592221623</v>
      </c>
      <c r="R69" s="33">
        <f t="shared" si="14"/>
        <v>15.478752711288813</v>
      </c>
      <c r="S69" s="33">
        <f t="shared" si="4"/>
        <v>0.17402447004447597</v>
      </c>
      <c r="T69" s="33">
        <f t="shared" si="5"/>
        <v>0.7995067916845825</v>
      </c>
      <c r="U69" s="33">
        <f t="shared" si="6"/>
        <v>28.314589889912519</v>
      </c>
      <c r="V69" s="67">
        <f t="shared" si="7"/>
        <v>28.108189002016715</v>
      </c>
      <c r="W69" s="33" t="str">
        <f t="shared" si="8"/>
        <v>False</v>
      </c>
      <c r="X69" s="70">
        <f t="shared" si="15"/>
        <v>1.0786082509354405E-2</v>
      </c>
      <c r="Y69" s="71" t="str">
        <f t="shared" si="16"/>
        <v>False</v>
      </c>
      <c r="Z69">
        <f t="shared" si="17"/>
        <v>3.00213488790873</v>
      </c>
      <c r="AA69">
        <f t="shared" si="18"/>
        <v>0.54667055999999992</v>
      </c>
      <c r="AB69" s="78">
        <f t="shared" si="19"/>
        <v>5.104215177141179</v>
      </c>
      <c r="AC69" s="78" t="str">
        <f t="shared" si="20"/>
        <v>False</v>
      </c>
    </row>
    <row r="70" spans="1:29" ht="12.75" customHeight="1" x14ac:dyDescent="0.15">
      <c r="A70" s="2"/>
      <c r="B70" s="68"/>
      <c r="C70" s="68"/>
      <c r="D70" s="68"/>
      <c r="E70" s="68"/>
      <c r="F70" s="68"/>
      <c r="G70" s="68"/>
      <c r="H70" s="68"/>
      <c r="I70" s="68"/>
      <c r="J70" s="68">
        <f t="shared" si="10"/>
        <v>25</v>
      </c>
      <c r="K70" s="33">
        <f t="shared" si="11"/>
        <v>12.379991651523749</v>
      </c>
      <c r="L70" s="33">
        <f t="shared" si="12"/>
        <v>136.49401244792494</v>
      </c>
      <c r="M70" s="33">
        <f t="shared" si="13"/>
        <v>118.53926140633141</v>
      </c>
      <c r="N70" s="33">
        <f t="shared" si="0"/>
        <v>17.981237861670675</v>
      </c>
      <c r="O70" s="33">
        <f t="shared" si="1"/>
        <v>15.072180579288938</v>
      </c>
      <c r="P70" s="33" t="str">
        <f t="shared" si="2"/>
        <v>True</v>
      </c>
      <c r="Q70" s="33">
        <f t="shared" si="3"/>
        <v>15.072180579288938</v>
      </c>
      <c r="R70" s="33">
        <f t="shared" si="14"/>
        <v>16.525495657496709</v>
      </c>
      <c r="S70" s="33">
        <f t="shared" si="4"/>
        <v>0.17981237861670674</v>
      </c>
      <c r="T70" s="33">
        <f t="shared" si="5"/>
        <v>0.82609772002911519</v>
      </c>
      <c r="U70" s="33">
        <f t="shared" si="6"/>
        <v>30.229349935172493</v>
      </c>
      <c r="V70" s="67">
        <f t="shared" si="7"/>
        <v>28.72805230745707</v>
      </c>
      <c r="W70" s="33" t="str">
        <f t="shared" si="8"/>
        <v>False</v>
      </c>
      <c r="X70" s="70">
        <f t="shared" si="15"/>
        <v>1.0471194732018796E-2</v>
      </c>
      <c r="Y70" s="71" t="str">
        <f t="shared" si="16"/>
        <v>False</v>
      </c>
      <c r="Z70">
        <f t="shared" si="17"/>
        <v>3.1019833876529281</v>
      </c>
      <c r="AA70">
        <f t="shared" si="18"/>
        <v>0.54667055999999992</v>
      </c>
      <c r="AB70" s="78">
        <f t="shared" si="19"/>
        <v>5.273977112176726</v>
      </c>
      <c r="AC70" s="78" t="str">
        <f t="shared" si="20"/>
        <v>False</v>
      </c>
    </row>
    <row r="71" spans="1:29" ht="12.75" customHeight="1" x14ac:dyDescent="0.15">
      <c r="A71" s="1"/>
      <c r="F71" s="68"/>
      <c r="G71" s="68"/>
      <c r="H71" s="68"/>
      <c r="I71" s="68"/>
      <c r="J71" s="33">
        <f t="shared" si="10"/>
        <v>26</v>
      </c>
      <c r="K71" s="33">
        <f t="shared" si="11"/>
        <v>12.83366044913663</v>
      </c>
      <c r="L71" s="33">
        <f t="shared" si="12"/>
        <v>147.89841751296476</v>
      </c>
      <c r="M71" s="33">
        <f t="shared" si="13"/>
        <v>128.80618976564071</v>
      </c>
      <c r="N71" s="33">
        <f t="shared" si="0"/>
        <v>18.550154443360864</v>
      </c>
      <c r="O71" s="33">
        <f t="shared" si="1"/>
        <v>15.343178980719571</v>
      </c>
      <c r="P71" s="33" t="str">
        <f t="shared" si="2"/>
        <v>True</v>
      </c>
      <c r="Q71" s="33">
        <f t="shared" si="3"/>
        <v>15.343178980719571</v>
      </c>
      <c r="R71" s="33">
        <f t="shared" si="14"/>
        <v>17.587753971263197</v>
      </c>
      <c r="S71" s="33">
        <f t="shared" si="4"/>
        <v>0.18550154443360864</v>
      </c>
      <c r="T71" s="33">
        <f t="shared" si="5"/>
        <v>0.85223500238067373</v>
      </c>
      <c r="U71" s="33">
        <f t="shared" si="6"/>
        <v>32.172491548224578</v>
      </c>
      <c r="V71" s="67">
        <f t="shared" si="7"/>
        <v>29.330891471124744</v>
      </c>
      <c r="W71" s="33" t="str">
        <f t="shared" si="8"/>
        <v>False</v>
      </c>
      <c r="X71" s="70">
        <f t="shared" si="15"/>
        <v>1.0172345325662233E-2</v>
      </c>
      <c r="Y71" s="71" t="str">
        <f t="shared" si="16"/>
        <v>False</v>
      </c>
      <c r="Z71">
        <f t="shared" si="17"/>
        <v>3.2001284541349793</v>
      </c>
      <c r="AA71">
        <f t="shared" si="18"/>
        <v>0.54667056000000003</v>
      </c>
      <c r="AB71" s="78">
        <f t="shared" si="19"/>
        <v>5.4408428782410159</v>
      </c>
      <c r="AC71" s="78" t="str">
        <f t="shared" si="20"/>
        <v>False</v>
      </c>
    </row>
    <row r="72" spans="1:29" ht="12.75" customHeight="1" x14ac:dyDescent="0.15">
      <c r="A72" s="1"/>
      <c r="J72" s="33">
        <f t="shared" si="10"/>
        <v>27</v>
      </c>
      <c r="K72" s="33">
        <f t="shared" si="11"/>
        <v>13.281015474019554</v>
      </c>
      <c r="L72" s="33">
        <f t="shared" si="12"/>
        <v>159.67495921092348</v>
      </c>
      <c r="M72" s="33">
        <f t="shared" si="13"/>
        <v>139.43100214485636</v>
      </c>
      <c r="N72" s="33">
        <f t="shared" si="0"/>
        <v>19.109794222699751</v>
      </c>
      <c r="O72" s="33">
        <f t="shared" si="1"/>
        <v>15.601767996219772</v>
      </c>
      <c r="P72" s="33" t="str">
        <f t="shared" si="2"/>
        <v>True</v>
      </c>
      <c r="Q72" s="33">
        <f t="shared" si="3"/>
        <v>15.601767996219772</v>
      </c>
      <c r="R72" s="33">
        <f t="shared" si="14"/>
        <v>18.664972023067474</v>
      </c>
      <c r="S72" s="33">
        <f t="shared" si="4"/>
        <v>0.19109794222699752</v>
      </c>
      <c r="T72" s="33">
        <f t="shared" si="5"/>
        <v>0.87794608797478313</v>
      </c>
      <c r="U72" s="33">
        <f t="shared" si="6"/>
        <v>34.142998340842567</v>
      </c>
      <c r="V72" s="67">
        <f t="shared" si="7"/>
        <v>29.917916591203245</v>
      </c>
      <c r="W72" s="33" t="str">
        <f t="shared" si="8"/>
        <v>False</v>
      </c>
      <c r="X72" s="70">
        <f t="shared" si="15"/>
        <v>9.8887455541095785E-3</v>
      </c>
      <c r="Y72" s="71" t="str">
        <f t="shared" si="16"/>
        <v>False</v>
      </c>
      <c r="Z72">
        <f t="shared" si="17"/>
        <v>3.2966731587840115</v>
      </c>
      <c r="AA72">
        <f t="shared" si="18"/>
        <v>0.54667055999999992</v>
      </c>
      <c r="AB72" s="78">
        <f t="shared" si="19"/>
        <v>5.6049877168779876</v>
      </c>
      <c r="AC72" s="78" t="str">
        <f t="shared" si="20"/>
        <v>False</v>
      </c>
    </row>
    <row r="73" spans="1:29" ht="12.75" customHeight="1" x14ac:dyDescent="0.15">
      <c r="A73" s="1"/>
      <c r="J73" s="33">
        <f t="shared" si="10"/>
        <v>28</v>
      </c>
      <c r="K73" s="33">
        <f t="shared" si="11"/>
        <v>13.722416965121649</v>
      </c>
      <c r="L73" s="33">
        <f t="shared" si="12"/>
        <v>171.81839113304548</v>
      </c>
      <c r="M73" s="33">
        <f t="shared" si="13"/>
        <v>150.40893571695369</v>
      </c>
      <c r="N73" s="33">
        <f t="shared" si="0"/>
        <v>19.660695140444883</v>
      </c>
      <c r="O73" s="33">
        <f t="shared" si="1"/>
        <v>15.84902619007887</v>
      </c>
      <c r="P73" s="33" t="str">
        <f t="shared" si="2"/>
        <v>True</v>
      </c>
      <c r="Q73" s="33">
        <f t="shared" si="3"/>
        <v>15.84902619007887</v>
      </c>
      <c r="R73" s="33">
        <f t="shared" si="14"/>
        <v>19.756638818504005</v>
      </c>
      <c r="S73" s="33">
        <f t="shared" si="4"/>
        <v>0.19660695140444884</v>
      </c>
      <c r="T73" s="33">
        <f t="shared" si="5"/>
        <v>0.90325569099612468</v>
      </c>
      <c r="U73" s="33">
        <f t="shared" si="6"/>
        <v>36.139935573819827</v>
      </c>
      <c r="V73" s="67">
        <f t="shared" si="7"/>
        <v>30.490204052546623</v>
      </c>
      <c r="W73" s="33" t="str">
        <f t="shared" si="8"/>
        <v>False</v>
      </c>
      <c r="X73" s="70">
        <f t="shared" si="15"/>
        <v>9.6195557803119489E-3</v>
      </c>
      <c r="Y73" s="71" t="str">
        <f t="shared" si="16"/>
        <v>False</v>
      </c>
      <c r="Z73">
        <f t="shared" si="17"/>
        <v>3.3917103029580984</v>
      </c>
      <c r="AA73">
        <f t="shared" si="18"/>
        <v>0.54667055999999992</v>
      </c>
      <c r="AB73" s="78">
        <f t="shared" si="19"/>
        <v>5.7665694085065873</v>
      </c>
      <c r="AC73" s="78" t="str">
        <f t="shared" si="20"/>
        <v>False</v>
      </c>
    </row>
    <row r="74" spans="1:29" ht="12.75" customHeight="1" x14ac:dyDescent="0.15">
      <c r="A74" s="1"/>
      <c r="J74" s="33">
        <f t="shared" si="10"/>
        <v>29</v>
      </c>
      <c r="K74" s="33">
        <f t="shared" si="11"/>
        <v>14.158190643388876</v>
      </c>
      <c r="L74" s="33">
        <f t="shared" si="12"/>
        <v>184.32376517884657</v>
      </c>
      <c r="M74" s="33">
        <f t="shared" si="13"/>
        <v>161.73548823166479</v>
      </c>
      <c r="N74" s="33">
        <f t="shared" si="0"/>
        <v>20.203343655330972</v>
      </c>
      <c r="O74" s="33">
        <f t="shared" si="1"/>
        <v>16.085898010249068</v>
      </c>
      <c r="P74" s="33" t="str">
        <f t="shared" si="2"/>
        <v>True</v>
      </c>
      <c r="Q74" s="33">
        <f t="shared" si="3"/>
        <v>16.085898010249068</v>
      </c>
      <c r="R74" s="33">
        <f t="shared" si="14"/>
        <v>20.862282625942782</v>
      </c>
      <c r="S74" s="33">
        <f t="shared" si="4"/>
        <v>0.20203343655330971</v>
      </c>
      <c r="T74" s="33">
        <f t="shared" si="5"/>
        <v>0.92818616043172164</v>
      </c>
      <c r="U74" s="33">
        <f t="shared" si="6"/>
        <v>38.162440329588598</v>
      </c>
      <c r="V74" s="67">
        <f t="shared" si="7"/>
        <v>31.048716106743012</v>
      </c>
      <c r="W74" s="33" t="str">
        <f t="shared" si="8"/>
        <v>False</v>
      </c>
      <c r="X74" s="70">
        <f t="shared" si="15"/>
        <v>9.3639272155942206E-3</v>
      </c>
      <c r="Y74" s="71" t="str">
        <f t="shared" si="16"/>
        <v>False</v>
      </c>
      <c r="Z74">
        <f t="shared" si="17"/>
        <v>3.4853238067369077</v>
      </c>
      <c r="AA74">
        <f t="shared" si="18"/>
        <v>0.54667055999999992</v>
      </c>
      <c r="AB74" s="78">
        <f t="shared" si="19"/>
        <v>5.925730633639283</v>
      </c>
      <c r="AC74" s="78" t="str">
        <f t="shared" si="20"/>
        <v>False</v>
      </c>
    </row>
    <row r="75" spans="1:29" ht="12.75" customHeight="1" x14ac:dyDescent="0.15">
      <c r="A75" s="2"/>
      <c r="B75" s="68"/>
      <c r="C75" s="68"/>
      <c r="D75" s="68"/>
      <c r="E75" s="68"/>
      <c r="F75" s="68"/>
      <c r="G75" s="68"/>
      <c r="H75" s="68"/>
      <c r="I75" s="68"/>
      <c r="J75" s="68">
        <f t="shared" si="10"/>
        <v>30</v>
      </c>
      <c r="K75" s="33">
        <f t="shared" si="11"/>
        <v>14.588632233246182</v>
      </c>
      <c r="L75" s="33">
        <f t="shared" si="12"/>
        <v>197.18640309085376</v>
      </c>
      <c r="M75" s="33">
        <f t="shared" si="13"/>
        <v>173.40639401826172</v>
      </c>
      <c r="N75" s="33">
        <f t="shared" si="0"/>
        <v>20.738181443801256</v>
      </c>
      <c r="O75" s="33">
        <f t="shared" si="1"/>
        <v>16.313215066207668</v>
      </c>
      <c r="P75" s="33" t="str">
        <f t="shared" si="2"/>
        <v>True</v>
      </c>
      <c r="Q75" s="33">
        <f t="shared" si="3"/>
        <v>16.313215066207668</v>
      </c>
      <c r="R75" s="33">
        <f t="shared" si="14"/>
        <v>21.981466446018946</v>
      </c>
      <c r="S75" s="33">
        <f t="shared" si="4"/>
        <v>0.20738181443801257</v>
      </c>
      <c r="T75" s="33">
        <f t="shared" si="5"/>
        <v>0.95275778787137266</v>
      </c>
      <c r="U75" s="33">
        <f t="shared" si="6"/>
        <v>40.209713224759987</v>
      </c>
      <c r="V75" s="67">
        <f t="shared" si="7"/>
        <v>31.594316939837153</v>
      </c>
      <c r="W75" s="33" t="str">
        <f t="shared" si="8"/>
        <v>False</v>
      </c>
      <c r="X75" s="70">
        <f t="shared" si="15"/>
        <v>9.1210276083002299E-3</v>
      </c>
      <c r="Y75" s="71" t="str">
        <f t="shared" si="16"/>
        <v>False</v>
      </c>
      <c r="Z75">
        <f t="shared" si="17"/>
        <v>3.5775898647072744</v>
      </c>
      <c r="AA75">
        <f t="shared" si="18"/>
        <v>0.54667055999999992</v>
      </c>
      <c r="AB75" s="78">
        <f t="shared" si="19"/>
        <v>6.0826009379430941</v>
      </c>
      <c r="AC75" s="78" t="str">
        <f t="shared" si="20"/>
        <v>False</v>
      </c>
    </row>
    <row r="76" spans="1:29" ht="12.75" customHeight="1" x14ac:dyDescent="0.15">
      <c r="A76" s="1"/>
      <c r="J76" s="33">
        <f t="shared" si="10"/>
        <v>31</v>
      </c>
      <c r="K76" s="33">
        <f t="shared" si="11"/>
        <v>15.01401124676795</v>
      </c>
      <c r="L76" s="33">
        <f t="shared" si="12"/>
        <v>210.40187171104861</v>
      </c>
      <c r="M76" s="33">
        <f t="shared" si="13"/>
        <v>185.41760301567609</v>
      </c>
      <c r="N76" s="33">
        <f t="shared" si="0"/>
        <v>21.265611016064124</v>
      </c>
      <c r="O76" s="33">
        <f t="shared" si="1"/>
        <v>16.531713358759074</v>
      </c>
      <c r="P76" s="33" t="str">
        <f t="shared" si="2"/>
        <v>True</v>
      </c>
      <c r="Q76" s="33">
        <f t="shared" si="3"/>
        <v>16.531713358759074</v>
      </c>
      <c r="R76" s="33">
        <f t="shared" si="14"/>
        <v>23.113784163090227</v>
      </c>
      <c r="S76" s="33">
        <f t="shared" si="4"/>
        <v>0.21265611016064123</v>
      </c>
      <c r="T76" s="33">
        <f t="shared" si="5"/>
        <v>0.97698906552167586</v>
      </c>
      <c r="U76" s="33">
        <f t="shared" si="6"/>
        <v>42.281011370157245</v>
      </c>
      <c r="V76" s="67">
        <f t="shared" si="7"/>
        <v>32.127785964367085</v>
      </c>
      <c r="W76" s="33" t="str">
        <f t="shared" si="8"/>
        <v>False</v>
      </c>
      <c r="X76" s="70">
        <f t="shared" si="15"/>
        <v>8.8900565240744855E-3</v>
      </c>
      <c r="Y76" s="71" t="str">
        <f t="shared" si="16"/>
        <v>False</v>
      </c>
      <c r="Z76">
        <f t="shared" si="17"/>
        <v>3.6685779148016353</v>
      </c>
      <c r="AA76">
        <f t="shared" si="18"/>
        <v>0.54667055999999992</v>
      </c>
      <c r="AB76" s="78">
        <f t="shared" si="19"/>
        <v>6.2372983794540025</v>
      </c>
      <c r="AC76" s="78" t="str">
        <f t="shared" si="20"/>
        <v>False</v>
      </c>
    </row>
    <row r="77" spans="1:29" ht="12.75" customHeight="1" x14ac:dyDescent="0.15">
      <c r="A77" s="1"/>
      <c r="J77" s="33">
        <f t="shared" si="10"/>
        <v>32</v>
      </c>
      <c r="K77" s="33">
        <f t="shared" si="11"/>
        <v>15.434574172423396</v>
      </c>
      <c r="L77" s="33">
        <f t="shared" si="12"/>
        <v>223.96596135118972</v>
      </c>
      <c r="M77" s="33">
        <f t="shared" si="13"/>
        <v>197.76526235361482</v>
      </c>
      <c r="N77" s="33">
        <f t="shared" si="0"/>
        <v>21.786000455333262</v>
      </c>
      <c r="O77" s="33">
        <f t="shared" si="1"/>
        <v>16.742047350180151</v>
      </c>
      <c r="P77" s="33" t="str">
        <f t="shared" si="2"/>
        <v>True</v>
      </c>
      <c r="Q77" s="33">
        <f t="shared" si="3"/>
        <v>16.742047350180151</v>
      </c>
      <c r="R77" s="33">
        <f t="shared" si="14"/>
        <v>24.258857254033259</v>
      </c>
      <c r="S77" s="33">
        <f t="shared" si="4"/>
        <v>0.21786000455333263</v>
      </c>
      <c r="T77" s="33">
        <f t="shared" si="5"/>
        <v>1.0008969039371742</v>
      </c>
      <c r="U77" s="33">
        <f t="shared" si="6"/>
        <v>44.375642350364103</v>
      </c>
      <c r="V77" s="67">
        <f t="shared" si="7"/>
        <v>32.649828897198056</v>
      </c>
      <c r="W77" s="33" t="str">
        <f t="shared" si="8"/>
        <v>False</v>
      </c>
      <c r="X77" s="70">
        <f t="shared" si="15"/>
        <v>8.6702538717334573E-3</v>
      </c>
      <c r="Y77" s="71" t="str">
        <f t="shared" si="16"/>
        <v>False</v>
      </c>
      <c r="Z77">
        <f t="shared" si="17"/>
        <v>3.7583514558749025</v>
      </c>
      <c r="AA77">
        <f t="shared" si="18"/>
        <v>0.54667056000000003</v>
      </c>
      <c r="AB77" s="78">
        <f t="shared" si="19"/>
        <v>6.3899309186171829</v>
      </c>
      <c r="AC77" s="78" t="str">
        <f t="shared" si="20"/>
        <v>False</v>
      </c>
    </row>
    <row r="78" spans="1:29" ht="12.75" customHeight="1" x14ac:dyDescent="0.15">
      <c r="A78" s="1"/>
      <c r="J78" s="33">
        <f t="shared" si="10"/>
        <v>33</v>
      </c>
      <c r="K78" s="33">
        <f t="shared" si="11"/>
        <v>15.850547179154104</v>
      </c>
      <c r="L78" s="33">
        <f t="shared" si="12"/>
        <v>237.87466678680215</v>
      </c>
      <c r="M78" s="33">
        <f t="shared" si="13"/>
        <v>210.44570009693811</v>
      </c>
      <c r="N78" s="33">
        <f t="shared" si="0"/>
        <v>22.299687442049489</v>
      </c>
      <c r="O78" s="33">
        <f t="shared" si="1"/>
        <v>16.944801544055025</v>
      </c>
      <c r="P78" s="33" t="str">
        <f t="shared" si="2"/>
        <v>True</v>
      </c>
      <c r="Q78" s="33">
        <f t="shared" si="3"/>
        <v>16.944801544055025</v>
      </c>
      <c r="R78" s="33">
        <f t="shared" si="14"/>
        <v>25.4163319562251</v>
      </c>
      <c r="S78" s="33">
        <f t="shared" si="4"/>
        <v>0.2229968744204949</v>
      </c>
      <c r="T78" s="33">
        <f t="shared" si="5"/>
        <v>1.0244968169019801</v>
      </c>
      <c r="U78" s="33">
        <f t="shared" si="6"/>
        <v>46.492959043240056</v>
      </c>
      <c r="V78" s="67">
        <f t="shared" si="7"/>
        <v>33.161087055678692</v>
      </c>
      <c r="W78" s="33" t="str">
        <f t="shared" si="8"/>
        <v>False</v>
      </c>
      <c r="X78" s="70">
        <f t="shared" si="15"/>
        <v>8.4609040585342937E-3</v>
      </c>
      <c r="Y78" s="71" t="str">
        <f t="shared" si="16"/>
        <v>False</v>
      </c>
      <c r="Z78">
        <f t="shared" si="17"/>
        <v>3.8469687419319363</v>
      </c>
      <c r="AA78">
        <f t="shared" si="18"/>
        <v>0.54667055999999992</v>
      </c>
      <c r="AB78" s="78">
        <f t="shared" si="19"/>
        <v>6.5405975986091853</v>
      </c>
      <c r="AC78" s="78" t="str">
        <f t="shared" si="20"/>
        <v>False</v>
      </c>
    </row>
    <row r="79" spans="1:29" ht="12.75" customHeight="1" x14ac:dyDescent="0.15">
      <c r="A79" s="1"/>
      <c r="J79" s="33">
        <f t="shared" si="10"/>
        <v>34</v>
      </c>
      <c r="K79" s="33">
        <f t="shared" si="11"/>
        <v>16.262138423012424</v>
      </c>
      <c r="L79" s="33">
        <f t="shared" si="12"/>
        <v>252.12417047617564</v>
      </c>
      <c r="M79" s="33">
        <f t="shared" si="13"/>
        <v>223.45541083534806</v>
      </c>
      <c r="N79" s="33">
        <f t="shared" si="0"/>
        <v>22.806982690764112</v>
      </c>
      <c r="O79" s="33">
        <f t="shared" si="1"/>
        <v>17.140500084629181</v>
      </c>
      <c r="P79" s="33" t="str">
        <f t="shared" si="2"/>
        <v>True</v>
      </c>
      <c r="Q79" s="33">
        <f t="shared" si="3"/>
        <v>17.140500084629181</v>
      </c>
      <c r="R79" s="33">
        <f t="shared" si="14"/>
        <v>26.585876816681605</v>
      </c>
      <c r="S79" s="33">
        <f t="shared" si="4"/>
        <v>0.22806982690764113</v>
      </c>
      <c r="T79" s="33">
        <f t="shared" si="5"/>
        <v>1.0478030793277759</v>
      </c>
      <c r="U79" s="33">
        <f t="shared" si="6"/>
        <v>48.632355136668799</v>
      </c>
      <c r="V79" s="67">
        <f t="shared" si="7"/>
        <v>33.662145208590481</v>
      </c>
      <c r="W79" s="33" t="str">
        <f t="shared" si="8"/>
        <v>False</v>
      </c>
      <c r="X79" s="70">
        <f t="shared" si="15"/>
        <v>8.2613373410891991E-3</v>
      </c>
      <c r="Y79" s="71" t="str">
        <f t="shared" si="16"/>
        <v>False</v>
      </c>
      <c r="Z79">
        <f t="shared" si="17"/>
        <v>3.9344833750319412</v>
      </c>
      <c r="AA79">
        <f t="shared" si="18"/>
        <v>0.54667055999999992</v>
      </c>
      <c r="AB79" s="78">
        <f t="shared" si="19"/>
        <v>6.6893895533911207</v>
      </c>
      <c r="AC79" s="78" t="str">
        <f t="shared" si="20"/>
        <v>False</v>
      </c>
    </row>
    <row r="80" spans="1:29" ht="12.75" customHeight="1" x14ac:dyDescent="0.15">
      <c r="A80" s="2"/>
      <c r="B80" s="68"/>
      <c r="C80" s="68"/>
      <c r="D80" s="68"/>
      <c r="E80" s="68"/>
      <c r="F80" s="68"/>
      <c r="G80" s="68"/>
      <c r="H80" s="68"/>
      <c r="I80" s="68"/>
      <c r="J80" s="68">
        <f t="shared" si="10"/>
        <v>35</v>
      </c>
      <c r="K80" s="33">
        <f t="shared" si="11"/>
        <v>16.669540025633911</v>
      </c>
      <c r="L80" s="33">
        <f t="shared" si="12"/>
        <v>266.71082767766359</v>
      </c>
      <c r="M80" s="33">
        <f t="shared" si="13"/>
        <v>236.79104285585518</v>
      </c>
      <c r="N80" s="33">
        <f t="shared" si="0"/>
        <v>23.308172901275153</v>
      </c>
      <c r="O80" s="33">
        <f t="shared" si="1"/>
        <v>17.329614767952219</v>
      </c>
      <c r="P80" s="33" t="str">
        <f t="shared" si="2"/>
        <v>True</v>
      </c>
      <c r="Q80" s="33">
        <f t="shared" si="3"/>
        <v>17.329614767952219</v>
      </c>
      <c r="R80" s="33">
        <f t="shared" si="14"/>
        <v>27.767180559782137</v>
      </c>
      <c r="S80" s="33">
        <f t="shared" si="4"/>
        <v>0.23308172901275154</v>
      </c>
      <c r="T80" s="33">
        <f t="shared" si="5"/>
        <v>1.0708288628355203</v>
      </c>
      <c r="U80" s="33">
        <f t="shared" si="6"/>
        <v>50.793261228082486</v>
      </c>
      <c r="V80" s="67">
        <f t="shared" si="7"/>
        <v>34.153538246032625</v>
      </c>
      <c r="W80" s="33" t="str">
        <f t="shared" si="8"/>
        <v>False</v>
      </c>
      <c r="X80" s="70">
        <f t="shared" si="15"/>
        <v>8.0709294060900567E-3</v>
      </c>
      <c r="Y80" s="71" t="str">
        <f t="shared" si="16"/>
        <v>False</v>
      </c>
      <c r="Z80">
        <f t="shared" si="17"/>
        <v>4.020944814395552</v>
      </c>
      <c r="AA80">
        <f t="shared" si="18"/>
        <v>0.54667055999999992</v>
      </c>
      <c r="AB80" s="78">
        <f t="shared" si="19"/>
        <v>6.8363908732900542</v>
      </c>
      <c r="AC80" s="78" t="str">
        <f t="shared" si="20"/>
        <v>False</v>
      </c>
    </row>
    <row r="81" spans="1:29" ht="12.75" customHeight="1" x14ac:dyDescent="0.15">
      <c r="A81" s="1"/>
      <c r="J81" s="33">
        <f t="shared" si="10"/>
        <v>36</v>
      </c>
      <c r="K81" s="33">
        <f t="shared" si="11"/>
        <v>17.072929779987124</v>
      </c>
      <c r="L81" s="33">
        <f t="shared" si="12"/>
        <v>281.63115319562445</v>
      </c>
      <c r="M81" s="33">
        <f t="shared" si="13"/>
        <v>250.44938667984488</v>
      </c>
      <c r="N81" s="33">
        <f t="shared" si="0"/>
        <v>23.803523305476293</v>
      </c>
      <c r="O81" s="33">
        <f t="shared" si="1"/>
        <v>17.512571769468686</v>
      </c>
      <c r="P81" s="33" t="str">
        <f t="shared" si="2"/>
        <v>True</v>
      </c>
      <c r="Q81" s="33">
        <f t="shared" si="3"/>
        <v>17.512571769468686</v>
      </c>
      <c r="R81" s="33">
        <f t="shared" si="14"/>
        <v>28.959950223000266</v>
      </c>
      <c r="S81" s="33">
        <f t="shared" si="4"/>
        <v>0.23803523305476293</v>
      </c>
      <c r="T81" s="33">
        <f t="shared" si="5"/>
        <v>1.0935863527633043</v>
      </c>
      <c r="U81" s="33">
        <f t="shared" si="6"/>
        <v>52.975141414237243</v>
      </c>
      <c r="V81" s="67">
        <f t="shared" si="7"/>
        <v>34.635756877368799</v>
      </c>
      <c r="W81" s="33" t="str">
        <f t="shared" si="8"/>
        <v>False</v>
      </c>
      <c r="X81" s="70">
        <f t="shared" si="15"/>
        <v>7.8890998654399351E-3</v>
      </c>
      <c r="Y81" s="71" t="str">
        <f t="shared" si="16"/>
        <v>False</v>
      </c>
      <c r="Z81">
        <f t="shared" si="17"/>
        <v>4.1063988157674203</v>
      </c>
      <c r="AA81">
        <f t="shared" si="18"/>
        <v>0.54667056000000003</v>
      </c>
      <c r="AB81" s="78">
        <f t="shared" si="19"/>
        <v>6.9816793520011391</v>
      </c>
      <c r="AC81" s="78" t="str">
        <f t="shared" si="20"/>
        <v>False</v>
      </c>
    </row>
    <row r="82" spans="1:29" ht="12.75" customHeight="1" x14ac:dyDescent="0.15">
      <c r="A82" s="1"/>
      <c r="J82" s="33">
        <f t="shared" si="10"/>
        <v>37</v>
      </c>
      <c r="K82" s="33">
        <f t="shared" si="11"/>
        <v>17.472472628100977</v>
      </c>
      <c r="L82" s="33">
        <f t="shared" si="12"/>
        <v>296.88180953094616</v>
      </c>
      <c r="M82" s="33">
        <f t="shared" si="13"/>
        <v>264.42736478232564</v>
      </c>
      <c r="N82" s="33">
        <f t="shared" si="0"/>
        <v>24.293279875711054</v>
      </c>
      <c r="O82" s="33">
        <f t="shared" si="1"/>
        <v>17.68975732674885</v>
      </c>
      <c r="P82" s="33" t="str">
        <f t="shared" si="2"/>
        <v>True</v>
      </c>
      <c r="Q82" s="33">
        <f t="shared" si="3"/>
        <v>17.68975732674885</v>
      </c>
      <c r="R82" s="33">
        <f t="shared" si="14"/>
        <v>30.163909519447643</v>
      </c>
      <c r="S82" s="33">
        <f t="shared" si="4"/>
        <v>0.24293279875711055</v>
      </c>
      <c r="T82" s="33">
        <f t="shared" si="5"/>
        <v>1.1160868496230143</v>
      </c>
      <c r="U82" s="33">
        <f t="shared" si="6"/>
        <v>55.177490295887978</v>
      </c>
      <c r="V82" s="67">
        <f t="shared" si="7"/>
        <v>35.109252524120258</v>
      </c>
      <c r="W82" s="33" t="str">
        <f t="shared" si="8"/>
        <v>False</v>
      </c>
      <c r="X82" s="70">
        <f t="shared" si="15"/>
        <v>7.7153101188373796E-3</v>
      </c>
      <c r="Y82" s="71" t="str">
        <f t="shared" si="16"/>
        <v>False</v>
      </c>
      <c r="Z82">
        <f t="shared" si="17"/>
        <v>4.1908878123843065</v>
      </c>
      <c r="AA82">
        <f t="shared" si="18"/>
        <v>0.54667055999999992</v>
      </c>
      <c r="AB82" s="78">
        <f t="shared" si="19"/>
        <v>7.1253271343077307</v>
      </c>
      <c r="AC82" s="78" t="str">
        <f t="shared" si="20"/>
        <v>False</v>
      </c>
    </row>
    <row r="83" spans="1:29" ht="12.75" customHeight="1" x14ac:dyDescent="0.15">
      <c r="A83" s="1"/>
      <c r="J83" s="33">
        <f t="shared" si="10"/>
        <v>38</v>
      </c>
      <c r="K83" s="33">
        <f t="shared" si="11"/>
        <v>17.868321947057698</v>
      </c>
      <c r="L83" s="33">
        <f t="shared" si="12"/>
        <v>312.45959624883102</v>
      </c>
      <c r="M83" s="33">
        <f t="shared" si="13"/>
        <v>278.72202233997177</v>
      </c>
      <c r="N83" s="33">
        <f t="shared" si="0"/>
        <v>24.77767124813067</v>
      </c>
      <c r="O83" s="33">
        <f t="shared" si="1"/>
        <v>17.861522565896777</v>
      </c>
      <c r="P83" s="33" t="str">
        <f t="shared" si="2"/>
        <v>True</v>
      </c>
      <c r="Q83" s="33">
        <f t="shared" si="3"/>
        <v>17.861522565896777</v>
      </c>
      <c r="R83" s="33">
        <f t="shared" si="14"/>
        <v>31.378797393444774</v>
      </c>
      <c r="S83" s="33">
        <f t="shared" si="4"/>
        <v>0.2477767124813067</v>
      </c>
      <c r="T83" s="33">
        <f t="shared" si="5"/>
        <v>1.1383408574636311</v>
      </c>
      <c r="U83" s="33">
        <f t="shared" si="6"/>
        <v>57.399830335558548</v>
      </c>
      <c r="V83" s="67">
        <f t="shared" si="7"/>
        <v>35.574441541967161</v>
      </c>
      <c r="W83" s="33" t="str">
        <f t="shared" si="8"/>
        <v>False</v>
      </c>
      <c r="X83" s="70">
        <f t="shared" si="15"/>
        <v>7.549060882534233E-3</v>
      </c>
      <c r="Y83" s="71" t="str">
        <f t="shared" si="16"/>
        <v>False</v>
      </c>
      <c r="Z83">
        <f t="shared" si="17"/>
        <v>4.2744512467778293</v>
      </c>
      <c r="AA83">
        <f t="shared" si="18"/>
        <v>0.54667055999999992</v>
      </c>
      <c r="AB83" s="78">
        <f t="shared" si="19"/>
        <v>7.267401280210807</v>
      </c>
      <c r="AC83" s="78" t="str">
        <f t="shared" si="20"/>
        <v>False</v>
      </c>
    </row>
    <row r="84" spans="1:29" ht="12.75" customHeight="1" x14ac:dyDescent="0.15">
      <c r="A84" s="1"/>
      <c r="J84" s="33">
        <f t="shared" si="10"/>
        <v>39</v>
      </c>
      <c r="K84" s="33">
        <f t="shared" si="11"/>
        <v>18.260620672899787</v>
      </c>
      <c r="L84" s="33">
        <f t="shared" si="12"/>
        <v>328.36144040631632</v>
      </c>
      <c r="M84" s="33">
        <f t="shared" si="13"/>
        <v>293.33051887829163</v>
      </c>
      <c r="N84" s="33">
        <f t="shared" si="0"/>
        <v>25.256910404837296</v>
      </c>
      <c r="O84" s="33">
        <f t="shared" si="1"/>
        <v>18.028187621697775</v>
      </c>
      <c r="P84" s="33" t="str">
        <f t="shared" si="2"/>
        <v>True</v>
      </c>
      <c r="Q84" s="33">
        <f t="shared" si="3"/>
        <v>18.028187621697775</v>
      </c>
      <c r="R84" s="33">
        <f t="shared" si="14"/>
        <v>32.604366741230031</v>
      </c>
      <c r="S84" s="33">
        <f t="shared" si="4"/>
        <v>0.25256910404837296</v>
      </c>
      <c r="T84" s="33">
        <f t="shared" si="5"/>
        <v>1.1603581611526019</v>
      </c>
      <c r="U84" s="33">
        <f t="shared" si="6"/>
        <v>59.64170951739203</v>
      </c>
      <c r="V84" s="67">
        <f t="shared" si="7"/>
        <v>36.031708880464791</v>
      </c>
      <c r="W84" s="33" t="str">
        <f t="shared" si="8"/>
        <v>False</v>
      </c>
      <c r="X84" s="70">
        <f t="shared" si="15"/>
        <v>7.3898895795804628E-3</v>
      </c>
      <c r="Y84" s="71" t="str">
        <f t="shared" si="16"/>
        <v>False</v>
      </c>
      <c r="Z84">
        <f t="shared" si="17"/>
        <v>4.3571258609647439</v>
      </c>
      <c r="AA84">
        <f t="shared" si="18"/>
        <v>0.54667056000000003</v>
      </c>
      <c r="AB84" s="78">
        <f t="shared" si="19"/>
        <v>7.4079642583090681</v>
      </c>
      <c r="AC84" s="78" t="str">
        <f t="shared" si="20"/>
        <v>False</v>
      </c>
    </row>
    <row r="85" spans="1:29" ht="12.75" customHeight="1" x14ac:dyDescent="0.15">
      <c r="A85" s="2"/>
      <c r="B85" s="68"/>
      <c r="C85" s="68"/>
      <c r="D85" s="68"/>
      <c r="E85" s="68"/>
      <c r="F85" s="68"/>
      <c r="G85" s="68"/>
      <c r="H85" s="68"/>
      <c r="I85" s="68"/>
      <c r="J85" s="68">
        <f t="shared" si="10"/>
        <v>40</v>
      </c>
      <c r="K85" s="33">
        <f t="shared" si="11"/>
        <v>18.649502286824482</v>
      </c>
      <c r="L85" s="33">
        <f t="shared" si="12"/>
        <v>344.58438790634614</v>
      </c>
      <c r="M85" s="33">
        <f t="shared" si="13"/>
        <v>308.25012070775119</v>
      </c>
      <c r="N85" s="33">
        <f t="shared" si="0"/>
        <v>25.731196150856466</v>
      </c>
      <c r="O85" s="33">
        <f t="shared" si="1"/>
        <v>18.190045171799731</v>
      </c>
      <c r="P85" s="33" t="str">
        <f t="shared" si="2"/>
        <v>True</v>
      </c>
      <c r="Q85" s="33">
        <f t="shared" si="3"/>
        <v>18.190045171799731</v>
      </c>
      <c r="R85" s="33">
        <f t="shared" si="14"/>
        <v>33.840383273641265</v>
      </c>
      <c r="S85" s="33">
        <f t="shared" si="4"/>
        <v>0.25731196150856467</v>
      </c>
      <c r="T85" s="33">
        <f t="shared" si="5"/>
        <v>1.1821478942312089</v>
      </c>
      <c r="U85" s="33">
        <f t="shared" si="6"/>
        <v>61.902699266705106</v>
      </c>
      <c r="V85" s="67">
        <f t="shared" si="7"/>
        <v>36.481411268966646</v>
      </c>
      <c r="W85" s="33" t="str">
        <f t="shared" si="8"/>
        <v>False</v>
      </c>
      <c r="X85" s="70">
        <f t="shared" si="15"/>
        <v>7.2373677174008078E-3</v>
      </c>
      <c r="Y85" s="71" t="str">
        <f t="shared" si="16"/>
        <v>False</v>
      </c>
      <c r="Z85">
        <f t="shared" si="17"/>
        <v>4.4389459512427418</v>
      </c>
      <c r="AA85">
        <f t="shared" si="18"/>
        <v>0.54667055999999992</v>
      </c>
      <c r="AB85" s="78">
        <f t="shared" si="19"/>
        <v>7.5470743790015229</v>
      </c>
      <c r="AC85" s="78" t="str">
        <f t="shared" si="20"/>
        <v>False</v>
      </c>
    </row>
    <row r="86" spans="1:29" ht="12.75" customHeight="1" x14ac:dyDescent="0.15">
      <c r="A86" s="1"/>
      <c r="J86" s="33">
        <f t="shared" si="10"/>
        <v>41</v>
      </c>
      <c r="K86" s="33">
        <f t="shared" si="11"/>
        <v>19.035091683816525</v>
      </c>
      <c r="L86" s="33">
        <f t="shared" si="12"/>
        <v>361.12559566520895</v>
      </c>
      <c r="M86" s="33">
        <f t="shared" si="13"/>
        <v>323.47819405480442</v>
      </c>
      <c r="N86" s="33">
        <f t="shared" si="0"/>
        <v>26.20071441578169</v>
      </c>
      <c r="O86" s="33">
        <f t="shared" si="1"/>
        <v>18.347363482010614</v>
      </c>
      <c r="P86" s="33" t="str">
        <f t="shared" si="2"/>
        <v>True</v>
      </c>
      <c r="Q86" s="33">
        <f t="shared" si="3"/>
        <v>18.347363482010614</v>
      </c>
      <c r="R86" s="33">
        <f t="shared" si="14"/>
        <v>35.086624501420154</v>
      </c>
      <c r="S86" s="33">
        <f t="shared" si="4"/>
        <v>0.2620071441578169</v>
      </c>
      <c r="T86" s="33">
        <f t="shared" si="5"/>
        <v>1.2037185987149945</v>
      </c>
      <c r="U86" s="33">
        <f t="shared" si="6"/>
        <v>64.182392593850594</v>
      </c>
      <c r="V86" s="67">
        <f t="shared" si="7"/>
        <v>36.923880001300212</v>
      </c>
      <c r="W86" s="33" t="str">
        <f t="shared" si="8"/>
        <v>False</v>
      </c>
      <c r="X86" s="70">
        <f t="shared" si="15"/>
        <v>7.0910983317793363E-3</v>
      </c>
      <c r="Y86" s="71" t="str">
        <f t="shared" si="16"/>
        <v>False</v>
      </c>
      <c r="Z86">
        <f t="shared" si="17"/>
        <v>4.5199435927400637</v>
      </c>
      <c r="AA86">
        <f t="shared" si="18"/>
        <v>0.54667055999999992</v>
      </c>
      <c r="AB86" s="78">
        <f t="shared" si="19"/>
        <v>7.6847861762656562</v>
      </c>
      <c r="AC86" s="78" t="str">
        <f t="shared" si="20"/>
        <v>False</v>
      </c>
    </row>
    <row r="87" spans="1:29" ht="12.75" customHeight="1" x14ac:dyDescent="0.15">
      <c r="A87" s="1"/>
      <c r="J87" s="33">
        <f t="shared" si="10"/>
        <v>42</v>
      </c>
      <c r="K87" s="33">
        <f t="shared" si="11"/>
        <v>19.417505940470779</v>
      </c>
      <c r="L87" s="33">
        <f t="shared" si="12"/>
        <v>377.98232449669536</v>
      </c>
      <c r="M87" s="33">
        <f t="shared" si="13"/>
        <v>339.01219880718105</v>
      </c>
      <c r="N87" s="33">
        <f t="shared" si="0"/>
        <v>26.665639404932108</v>
      </c>
      <c r="O87" s="33">
        <f t="shared" si="1"/>
        <v>18.50038904155749</v>
      </c>
      <c r="P87" s="33" t="str">
        <f t="shared" si="2"/>
        <v>True</v>
      </c>
      <c r="Q87" s="33">
        <f t="shared" si="3"/>
        <v>18.50038904155749</v>
      </c>
      <c r="R87" s="33">
        <f t="shared" si="14"/>
        <v>36.34287882688659</v>
      </c>
      <c r="S87" s="33">
        <f t="shared" si="4"/>
        <v>0.26665639404932107</v>
      </c>
      <c r="T87" s="33">
        <f t="shared" si="5"/>
        <v>1.2250782779804814</v>
      </c>
      <c r="U87" s="33">
        <f t="shared" si="6"/>
        <v>66.480402432658153</v>
      </c>
      <c r="V87" s="67">
        <f t="shared" si="7"/>
        <v>37.359423379012028</v>
      </c>
      <c r="W87" s="33" t="str">
        <f t="shared" si="8"/>
        <v>False</v>
      </c>
      <c r="X87" s="70">
        <f t="shared" si="15"/>
        <v>6.9507135449416611E-3</v>
      </c>
      <c r="Y87" s="71" t="str">
        <f t="shared" si="16"/>
        <v>False</v>
      </c>
      <c r="Z87">
        <f t="shared" si="17"/>
        <v>4.6001488380042677</v>
      </c>
      <c r="AA87">
        <f t="shared" si="18"/>
        <v>0.54667055999999992</v>
      </c>
      <c r="AB87" s="78">
        <f t="shared" si="19"/>
        <v>7.8211507452970856</v>
      </c>
      <c r="AC87" s="78" t="str">
        <f t="shared" si="20"/>
        <v>False</v>
      </c>
    </row>
    <row r="88" spans="1:29" ht="12.75" customHeight="1" x14ac:dyDescent="0.15">
      <c r="A88" s="1"/>
      <c r="J88" s="33">
        <f t="shared" si="10"/>
        <v>43</v>
      </c>
      <c r="K88" s="33">
        <f t="shared" si="11"/>
        <v>19.796854996001738</v>
      </c>
      <c r="L88" s="33">
        <f t="shared" si="12"/>
        <v>395.15193263006938</v>
      </c>
      <c r="M88" s="33">
        <f t="shared" si="13"/>
        <v>354.84968280398243</v>
      </c>
      <c r="N88" s="33">
        <f t="shared" si="0"/>
        <v>27.126134620804848</v>
      </c>
      <c r="O88" s="33">
        <f t="shared" si="1"/>
        <v>18.649348852724394</v>
      </c>
      <c r="P88" s="33" t="str">
        <f t="shared" si="2"/>
        <v>True</v>
      </c>
      <c r="Q88" s="33">
        <f t="shared" si="3"/>
        <v>18.649348852724394</v>
      </c>
      <c r="R88" s="33">
        <f t="shared" si="14"/>
        <v>37.60894472826363</v>
      </c>
      <c r="S88" s="33">
        <f t="shared" si="4"/>
        <v>0.27126134620804848</v>
      </c>
      <c r="T88" s="33">
        <f t="shared" si="5"/>
        <v>1.2462344436929482</v>
      </c>
      <c r="U88" s="33">
        <f t="shared" si="6"/>
        <v>68.796360148356328</v>
      </c>
      <c r="V88" s="67">
        <f t="shared" si="7"/>
        <v>37.788328862772246</v>
      </c>
      <c r="W88" s="33" t="str">
        <f t="shared" si="8"/>
        <v>False</v>
      </c>
      <c r="X88" s="70">
        <f t="shared" si="15"/>
        <v>6.8158722643645187E-3</v>
      </c>
      <c r="Y88" s="71" t="str">
        <f t="shared" si="16"/>
        <v>False</v>
      </c>
      <c r="Z88">
        <f t="shared" si="17"/>
        <v>4.6795898932152564</v>
      </c>
      <c r="AA88">
        <f t="shared" si="18"/>
        <v>0.54667055999999992</v>
      </c>
      <c r="AB88" s="78">
        <f t="shared" si="19"/>
        <v>7.9562160421060808</v>
      </c>
      <c r="AC88" s="78" t="str">
        <f t="shared" si="20"/>
        <v>False</v>
      </c>
    </row>
    <row r="89" spans="1:29" ht="12.75" customHeight="1" x14ac:dyDescent="0.15">
      <c r="A89" s="1"/>
      <c r="J89" s="33">
        <f t="shared" si="10"/>
        <v>44</v>
      </c>
      <c r="K89" s="33">
        <f t="shared" si="11"/>
        <v>20.173242258192168</v>
      </c>
      <c r="L89" s="33">
        <f t="shared" si="12"/>
        <v>412.6318697904382</v>
      </c>
      <c r="M89" s="33">
        <f t="shared" si="13"/>
        <v>370.98827661053616</v>
      </c>
      <c r="N89" s="33">
        <f t="shared" si="0"/>
        <v>27.582353772292144</v>
      </c>
      <c r="O89" s="33">
        <f t="shared" si="1"/>
        <v>18.794452427795456</v>
      </c>
      <c r="P89" s="33" t="str">
        <f t="shared" si="2"/>
        <v>True</v>
      </c>
      <c r="Q89" s="33">
        <f t="shared" si="3"/>
        <v>18.794452427795456</v>
      </c>
      <c r="R89" s="33">
        <f t="shared" si="14"/>
        <v>38.884630025016023</v>
      </c>
      <c r="S89" s="33">
        <f t="shared" si="4"/>
        <v>0.27582353772292145</v>
      </c>
      <c r="T89" s="33">
        <f t="shared" si="5"/>
        <v>1.2671941575778662</v>
      </c>
      <c r="U89" s="33">
        <f t="shared" si="6"/>
        <v>71.129914193689217</v>
      </c>
      <c r="V89" s="67">
        <f t="shared" si="7"/>
        <v>38.210864973263341</v>
      </c>
      <c r="W89" s="33" t="str">
        <f t="shared" si="8"/>
        <v>False</v>
      </c>
      <c r="X89" s="70">
        <f t="shared" si="15"/>
        <v>6.686258035006401E-3</v>
      </c>
      <c r="Y89" s="71" t="str">
        <f t="shared" si="16"/>
        <v>False</v>
      </c>
      <c r="Z89">
        <f t="shared" si="17"/>
        <v>4.7582932750363351</v>
      </c>
      <c r="AA89">
        <f t="shared" si="18"/>
        <v>0.54667055999999981</v>
      </c>
      <c r="AB89" s="78">
        <f t="shared" si="19"/>
        <v>8.0900271501950058</v>
      </c>
      <c r="AC89" s="78" t="str">
        <f t="shared" si="20"/>
        <v>False</v>
      </c>
    </row>
    <row r="90" spans="1:29" ht="12.75" customHeight="1" x14ac:dyDescent="0.15">
      <c r="A90" s="2"/>
      <c r="B90" s="68"/>
      <c r="C90" s="68"/>
      <c r="D90" s="68"/>
      <c r="E90" s="68"/>
      <c r="F90" s="68"/>
      <c r="G90" s="68"/>
      <c r="H90" s="68"/>
      <c r="I90" s="68"/>
      <c r="J90" s="68">
        <f t="shared" si="10"/>
        <v>45</v>
      </c>
      <c r="K90" s="33">
        <f t="shared" si="11"/>
        <v>20.54676514419452</v>
      </c>
      <c r="L90" s="33">
        <f t="shared" si="12"/>
        <v>430.41967177974669</v>
      </c>
      <c r="M90" s="33">
        <f t="shared" si="13"/>
        <v>387.4256887258918</v>
      </c>
      <c r="N90" s="33">
        <f t="shared" si="0"/>
        <v>28.034441586415021</v>
      </c>
      <c r="O90" s="33">
        <f t="shared" si="1"/>
        <v>18.935893537020668</v>
      </c>
      <c r="P90" s="33" t="str">
        <f t="shared" si="2"/>
        <v>True</v>
      </c>
      <c r="Q90" s="33">
        <f t="shared" si="3"/>
        <v>18.935893537020668</v>
      </c>
      <c r="R90" s="33">
        <f t="shared" si="14"/>
        <v>40.169751214285945</v>
      </c>
      <c r="S90" s="33">
        <f t="shared" si="4"/>
        <v>0.28034441586415021</v>
      </c>
      <c r="T90" s="33">
        <f t="shared" si="5"/>
        <v>1.2879640687137373</v>
      </c>
      <c r="U90" s="33">
        <f t="shared" si="6"/>
        <v>73.480728895088021</v>
      </c>
      <c r="V90" s="67">
        <f t="shared" si="7"/>
        <v>38.627282976156934</v>
      </c>
      <c r="W90" s="33" t="str">
        <f t="shared" si="8"/>
        <v>False</v>
      </c>
      <c r="X90" s="70">
        <f t="shared" si="15"/>
        <v>6.5615770484908206E-3</v>
      </c>
      <c r="Y90" s="71" t="str">
        <f t="shared" si="16"/>
        <v>False</v>
      </c>
      <c r="Z90">
        <f t="shared" si="17"/>
        <v>4.8362839506482089</v>
      </c>
      <c r="AA90">
        <f t="shared" si="18"/>
        <v>0.54667055999999992</v>
      </c>
      <c r="AB90" s="78">
        <f t="shared" si="19"/>
        <v>8.2226265186434109</v>
      </c>
      <c r="AC90" s="78" t="str">
        <f t="shared" si="20"/>
        <v>False</v>
      </c>
    </row>
    <row r="91" spans="1:29" ht="12.75" customHeight="1" x14ac:dyDescent="0.15">
      <c r="A91" s="1"/>
      <c r="J91" s="33">
        <f t="shared" si="10"/>
        <v>46</v>
      </c>
      <c r="K91" s="33">
        <f t="shared" si="11"/>
        <v>20.917515564584058</v>
      </c>
      <c r="L91" s="33">
        <f t="shared" si="12"/>
        <v>448.51295550476181</v>
      </c>
      <c r="M91" s="33">
        <f t="shared" si="13"/>
        <v>404.15970117755904</v>
      </c>
      <c r="N91" s="33">
        <f t="shared" si="0"/>
        <v>28.482534535085293</v>
      </c>
      <c r="O91" s="33">
        <f t="shared" si="1"/>
        <v>19.073851743897883</v>
      </c>
      <c r="P91" s="33" t="str">
        <f t="shared" si="2"/>
        <v>True</v>
      </c>
      <c r="Q91" s="33">
        <f t="shared" si="3"/>
        <v>19.073851743897883</v>
      </c>
      <c r="R91" s="33">
        <f t="shared" si="14"/>
        <v>41.464132869941125</v>
      </c>
      <c r="S91" s="33">
        <f t="shared" si="4"/>
        <v>0.28482534535085291</v>
      </c>
      <c r="T91" s="33">
        <f t="shared" si="5"/>
        <v>1.3085504469211404</v>
      </c>
      <c r="U91" s="33">
        <f t="shared" si="6"/>
        <v>75.848483353376722</v>
      </c>
      <c r="V91" s="67">
        <f t="shared" si="7"/>
        <v>39.037818380290815</v>
      </c>
      <c r="W91" s="33" t="str">
        <f t="shared" si="8"/>
        <v>False</v>
      </c>
      <c r="X91" s="70">
        <f t="shared" si="15"/>
        <v>6.4415563069079827E-3</v>
      </c>
      <c r="Y91" s="71" t="str">
        <f t="shared" si="16"/>
        <v>False</v>
      </c>
      <c r="Z91">
        <f t="shared" si="17"/>
        <v>4.9135854631243046</v>
      </c>
      <c r="AA91">
        <f t="shared" si="18"/>
        <v>0.54667055999999992</v>
      </c>
      <c r="AB91" s="78">
        <f t="shared" si="19"/>
        <v>8.3540541752705622</v>
      </c>
      <c r="AC91" s="78" t="str">
        <f t="shared" si="20"/>
        <v>False</v>
      </c>
    </row>
    <row r="92" spans="1:29" ht="12.75" customHeight="1" x14ac:dyDescent="0.15">
      <c r="A92" s="1"/>
      <c r="J92" s="33">
        <f t="shared" si="10"/>
        <v>47</v>
      </c>
      <c r="K92" s="33">
        <f t="shared" si="11"/>
        <v>21.285580357809582</v>
      </c>
      <c r="L92" s="33">
        <f t="shared" si="12"/>
        <v>466.90941440530975</v>
      </c>
      <c r="M92" s="33">
        <f t="shared" si="13"/>
        <v>421.18816546380668</v>
      </c>
      <c r="N92" s="33">
        <f t="shared" si="0"/>
        <v>28.926761487549708</v>
      </c>
      <c r="O92" s="33">
        <f t="shared" si="1"/>
        <v>19.208493758045449</v>
      </c>
      <c r="P92" s="33" t="str">
        <f t="shared" si="2"/>
        <v>True</v>
      </c>
      <c r="Q92" s="33">
        <f t="shared" si="3"/>
        <v>19.208493758045449</v>
      </c>
      <c r="R92" s="33">
        <f t="shared" si="14"/>
        <v>42.767607096943443</v>
      </c>
      <c r="S92" s="33">
        <f t="shared" si="4"/>
        <v>0.28926761487549707</v>
      </c>
      <c r="T92" s="33">
        <f t="shared" si="5"/>
        <v>1.3289592127374577</v>
      </c>
      <c r="U92" s="33">
        <f t="shared" si="6"/>
        <v>78.232870445672887</v>
      </c>
      <c r="V92" s="67">
        <f t="shared" si="7"/>
        <v>39.442692273643587</v>
      </c>
      <c r="W92" s="33" t="str">
        <f t="shared" si="8"/>
        <v>False</v>
      </c>
      <c r="X92" s="70">
        <f t="shared" si="15"/>
        <v>6.3259419352715406E-3</v>
      </c>
      <c r="Y92" s="71" t="str">
        <f t="shared" si="16"/>
        <v>False</v>
      </c>
      <c r="Z92">
        <f t="shared" si="17"/>
        <v>4.9902200439853726</v>
      </c>
      <c r="AA92">
        <f t="shared" si="18"/>
        <v>0.54667055999999992</v>
      </c>
      <c r="AB92" s="78">
        <f t="shared" si="19"/>
        <v>8.4843479180002213</v>
      </c>
      <c r="AC92" s="78" t="str">
        <f t="shared" si="20"/>
        <v>False</v>
      </c>
    </row>
    <row r="93" spans="1:29" ht="12.75" customHeight="1" x14ac:dyDescent="0.15">
      <c r="A93" s="1"/>
      <c r="J93" s="33">
        <f t="shared" si="10"/>
        <v>48</v>
      </c>
      <c r="K93" s="33">
        <f t="shared" si="11"/>
        <v>21.651041681144882</v>
      </c>
      <c r="L93" s="33">
        <f t="shared" si="12"/>
        <v>485.60681424189499</v>
      </c>
      <c r="M93" s="33">
        <f t="shared" si="13"/>
        <v>438.50899880872259</v>
      </c>
      <c r="N93" s="33">
        <f t="shared" si="0"/>
        <v>29.367244297625163</v>
      </c>
      <c r="O93" s="33">
        <f t="shared" si="1"/>
        <v>19.339974631034806</v>
      </c>
      <c r="P93" s="33" t="str">
        <f t="shared" si="2"/>
        <v>True</v>
      </c>
      <c r="Q93" s="33">
        <f t="shared" si="3"/>
        <v>19.339974631034806</v>
      </c>
      <c r="R93" s="33">
        <f t="shared" si="14"/>
        <v>44.080013034749221</v>
      </c>
      <c r="S93" s="33">
        <f t="shared" si="4"/>
        <v>0.29367244297625161</v>
      </c>
      <c r="T93" s="33">
        <f t="shared" si="5"/>
        <v>1.3491959643957523</v>
      </c>
      <c r="U93" s="33">
        <f t="shared" si="6"/>
        <v>80.633595916980099</v>
      </c>
      <c r="V93" s="67">
        <f t="shared" si="7"/>
        <v>39.842112517978649</v>
      </c>
      <c r="W93" s="33" t="str">
        <f t="shared" si="8"/>
        <v>False</v>
      </c>
      <c r="X93" s="70">
        <f t="shared" si="15"/>
        <v>6.2144976345408142E-3</v>
      </c>
      <c r="Y93" s="71" t="str">
        <f t="shared" si="16"/>
        <v>False</v>
      </c>
      <c r="Z93">
        <f t="shared" si="17"/>
        <v>5.0662087145047332</v>
      </c>
      <c r="AA93">
        <f t="shared" si="18"/>
        <v>0.54667055999999992</v>
      </c>
      <c r="AB93" s="78">
        <f t="shared" si="19"/>
        <v>8.6135434870993439</v>
      </c>
      <c r="AC93" s="78" t="str">
        <f t="shared" si="20"/>
        <v>False</v>
      </c>
    </row>
    <row r="94" spans="1:29" ht="12.75" customHeight="1" x14ac:dyDescent="0.15">
      <c r="A94" s="1"/>
      <c r="J94" s="33">
        <f t="shared" si="10"/>
        <v>49</v>
      </c>
      <c r="K94" s="33">
        <f t="shared" si="11"/>
        <v>22.013977363374391</v>
      </c>
      <c r="L94" s="33">
        <f t="shared" si="12"/>
        <v>504.60298920684625</v>
      </c>
      <c r="M94" s="33">
        <f t="shared" si="13"/>
        <v>456.12018069942212</v>
      </c>
      <c r="N94" s="33">
        <f t="shared" si="0"/>
        <v>29.804098333540658</v>
      </c>
      <c r="O94" s="33">
        <f t="shared" si="1"/>
        <v>19.468438816533435</v>
      </c>
      <c r="P94" s="33" t="str">
        <f t="shared" si="2"/>
        <v>True</v>
      </c>
      <c r="Q94" s="33">
        <f t="shared" si="3"/>
        <v>19.468438816533435</v>
      </c>
      <c r="R94" s="33">
        <f t="shared" si="14"/>
        <v>45.401196404296229</v>
      </c>
      <c r="S94" s="33">
        <f t="shared" si="4"/>
        <v>0.29804098333540657</v>
      </c>
      <c r="T94" s="33">
        <f t="shared" si="5"/>
        <v>1.3692660021668768</v>
      </c>
      <c r="U94" s="33">
        <f t="shared" si="6"/>
        <v>83.050377551511517</v>
      </c>
      <c r="V94" s="67">
        <f t="shared" si="7"/>
        <v>40.236274819937123</v>
      </c>
      <c r="W94" s="33" t="str">
        <f t="shared" si="8"/>
        <v>False</v>
      </c>
      <c r="X94" s="70">
        <f t="shared" si="15"/>
        <v>6.1070032660164933E-3</v>
      </c>
      <c r="Y94" s="71" t="str">
        <f t="shared" si="16"/>
        <v>False</v>
      </c>
      <c r="Z94">
        <f t="shared" si="17"/>
        <v>5.1415713771124949</v>
      </c>
      <c r="AA94">
        <f t="shared" si="18"/>
        <v>0.54667056000000003</v>
      </c>
      <c r="AB94" s="78">
        <f t="shared" si="19"/>
        <v>8.7416747205830827</v>
      </c>
      <c r="AC94" s="78" t="str">
        <f t="shared" si="20"/>
        <v>False</v>
      </c>
    </row>
    <row r="95" spans="1:29" ht="12.75" customHeight="1" x14ac:dyDescent="0.15">
      <c r="A95" s="2"/>
      <c r="B95" s="68"/>
      <c r="C95" s="68"/>
      <c r="D95" s="68"/>
      <c r="E95" s="68"/>
      <c r="F95" s="68"/>
      <c r="G95" s="68"/>
      <c r="H95" s="68"/>
      <c r="I95" s="68"/>
      <c r="J95" s="68">
        <f t="shared" si="10"/>
        <v>50</v>
      </c>
      <c r="K95" s="33">
        <f t="shared" si="11"/>
        <v>22.374461223715716</v>
      </c>
      <c r="L95" s="33">
        <f t="shared" si="12"/>
        <v>523.89583832743403</v>
      </c>
      <c r="M95" s="33">
        <f t="shared" si="13"/>
        <v>474.0197496783947</v>
      </c>
      <c r="N95" s="33">
        <f t="shared" si="0"/>
        <v>30.237432957116852</v>
      </c>
      <c r="O95" s="33">
        <f t="shared" si="1"/>
        <v>19.594021112800903</v>
      </c>
      <c r="P95" s="33" t="str">
        <f t="shared" si="2"/>
        <v>True</v>
      </c>
      <c r="Q95" s="33">
        <f t="shared" si="3"/>
        <v>19.594021112800903</v>
      </c>
      <c r="R95" s="33">
        <f t="shared" si="14"/>
        <v>46.731009093846978</v>
      </c>
      <c r="S95" s="33">
        <f t="shared" si="4"/>
        <v>0.3023743295711685</v>
      </c>
      <c r="T95" s="33">
        <f t="shared" si="5"/>
        <v>1.3891743503740404</v>
      </c>
      <c r="U95" s="33">
        <f t="shared" si="6"/>
        <v>85.482944415091566</v>
      </c>
      <c r="V95" s="67">
        <f t="shared" si="7"/>
        <v>40.625363693782866</v>
      </c>
      <c r="W95" s="33" t="str">
        <f t="shared" si="8"/>
        <v>False</v>
      </c>
      <c r="X95" s="70">
        <f t="shared" si="15"/>
        <v>6.0032535574881599E-3</v>
      </c>
      <c r="Y95" s="71" t="str">
        <f t="shared" si="16"/>
        <v>False</v>
      </c>
      <c r="Z95">
        <f t="shared" si="17"/>
        <v>5.2163268980598891</v>
      </c>
      <c r="AA95">
        <f t="shared" si="18"/>
        <v>0.54667056000000003</v>
      </c>
      <c r="AB95" s="78">
        <f t="shared" si="19"/>
        <v>8.8687736947602822</v>
      </c>
      <c r="AC95" s="78" t="str">
        <f t="shared" si="20"/>
        <v>False</v>
      </c>
    </row>
    <row r="96" spans="1:29" ht="12.75" customHeight="1" x14ac:dyDescent="0.15">
      <c r="A96" s="1"/>
      <c r="J96" s="33">
        <f t="shared" si="10"/>
        <v>51</v>
      </c>
      <c r="K96" s="33">
        <f t="shared" si="11"/>
        <v>22.732563360867456</v>
      </c>
      <c r="L96" s="33">
        <f t="shared" si="12"/>
        <v>543.48332213310903</v>
      </c>
      <c r="M96" s="33">
        <f t="shared" si="13"/>
        <v>492.20580036708867</v>
      </c>
      <c r="N96" s="33">
        <f t="shared" si="0"/>
        <v>30.667351958098948</v>
      </c>
      <c r="O96" s="33">
        <f t="shared" si="1"/>
        <v>19.716847502845312</v>
      </c>
      <c r="P96" s="33" t="str">
        <f t="shared" si="2"/>
        <v>True</v>
      </c>
      <c r="Q96" s="33">
        <f t="shared" si="3"/>
        <v>19.716847502845312</v>
      </c>
      <c r="R96" s="33">
        <f t="shared" si="14"/>
        <v>48.069308779564565</v>
      </c>
      <c r="S96" s="33">
        <f t="shared" si="4"/>
        <v>0.30667351958098948</v>
      </c>
      <c r="T96" s="33">
        <f t="shared" si="5"/>
        <v>1.4089257773470165</v>
      </c>
      <c r="U96" s="33">
        <f t="shared" si="6"/>
        <v>87.93103616109228</v>
      </c>
      <c r="V96" s="67">
        <f t="shared" si="7"/>
        <v>41.009553328847275</v>
      </c>
      <c r="W96" s="33" t="str">
        <f t="shared" si="8"/>
        <v>False</v>
      </c>
      <c r="X96" s="70">
        <f t="shared" si="15"/>
        <v>5.9030569215333811E-3</v>
      </c>
      <c r="Y96" s="71" t="str">
        <f t="shared" si="16"/>
        <v>False</v>
      </c>
      <c r="Z96">
        <f t="shared" si="17"/>
        <v>5.2904931823469976</v>
      </c>
      <c r="AA96">
        <f t="shared" si="18"/>
        <v>0.54667056000000003</v>
      </c>
      <c r="AB96" s="78">
        <f t="shared" si="19"/>
        <v>8.9948708516252545</v>
      </c>
      <c r="AC96" s="78" t="str">
        <f t="shared" si="20"/>
        <v>False</v>
      </c>
    </row>
    <row r="97" spans="1:29" ht="12.75" customHeight="1" x14ac:dyDescent="0.15">
      <c r="A97" s="1"/>
      <c r="J97" s="33">
        <f t="shared" si="10"/>
        <v>52</v>
      </c>
      <c r="K97" s="33">
        <f t="shared" si="11"/>
        <v>23.08835041555032</v>
      </c>
      <c r="L97" s="33">
        <f t="shared" si="12"/>
        <v>563.3634595622035</v>
      </c>
      <c r="M97" s="33">
        <f t="shared" si="13"/>
        <v>510.67648069952895</v>
      </c>
      <c r="N97" s="33">
        <f t="shared" si="0"/>
        <v>31.093953948684494</v>
      </c>
      <c r="O97" s="33">
        <f t="shared" si="1"/>
        <v>19.837035905275542</v>
      </c>
      <c r="P97" s="33" t="str">
        <f t="shared" si="2"/>
        <v>True</v>
      </c>
      <c r="Q97" s="33">
        <f t="shared" si="3"/>
        <v>19.837035905275542</v>
      </c>
      <c r="R97" s="33">
        <f t="shared" si="14"/>
        <v>49.41595857721552</v>
      </c>
      <c r="S97" s="33">
        <f t="shared" si="4"/>
        <v>0.31093953948684494</v>
      </c>
      <c r="T97" s="33">
        <f t="shared" si="5"/>
        <v>1.4285248135476234</v>
      </c>
      <c r="U97" s="33">
        <f t="shared" si="6"/>
        <v>90.394402393308908</v>
      </c>
      <c r="V97" s="67">
        <f t="shared" si="7"/>
        <v>41.389008372909387</v>
      </c>
      <c r="W97" s="33" t="str">
        <f t="shared" si="8"/>
        <v>False</v>
      </c>
      <c r="X97" s="70">
        <f t="shared" si="15"/>
        <v>5.8062343766508741E-3</v>
      </c>
      <c r="Y97" s="71" t="str">
        <f t="shared" si="16"/>
        <v>False</v>
      </c>
      <c r="Z97">
        <f t="shared" si="17"/>
        <v>5.3640872417836327</v>
      </c>
      <c r="AA97">
        <f t="shared" si="18"/>
        <v>0.54667056000000003</v>
      </c>
      <c r="AB97" s="78">
        <f t="shared" si="19"/>
        <v>9.1199951145745324</v>
      </c>
      <c r="AC97" s="78" t="str">
        <f t="shared" si="20"/>
        <v>False</v>
      </c>
    </row>
    <row r="98" spans="1:29" ht="12.75" customHeight="1" x14ac:dyDescent="0.15">
      <c r="A98" s="1"/>
      <c r="J98" s="33">
        <f t="shared" si="10"/>
        <v>53</v>
      </c>
      <c r="K98" s="33">
        <f t="shared" si="11"/>
        <v>23.441885809468982</v>
      </c>
      <c r="L98" s="33">
        <f t="shared" si="12"/>
        <v>583.53432508621347</v>
      </c>
      <c r="M98" s="33">
        <f t="shared" si="13"/>
        <v>529.42998934710408</v>
      </c>
      <c r="N98" s="33">
        <f t="shared" si="0"/>
        <v>31.517332722630144</v>
      </c>
      <c r="O98" s="33">
        <f t="shared" si="1"/>
        <v>19.954696846989883</v>
      </c>
      <c r="P98" s="33" t="str">
        <f t="shared" si="2"/>
        <v>True</v>
      </c>
      <c r="Q98" s="33">
        <f t="shared" si="3"/>
        <v>19.954696846989883</v>
      </c>
      <c r="R98" s="33">
        <f t="shared" si="14"/>
        <v>50.770826721836407</v>
      </c>
      <c r="S98" s="33">
        <f t="shared" si="4"/>
        <v>0.31517332722630143</v>
      </c>
      <c r="T98" s="33">
        <f t="shared" si="5"/>
        <v>1.4479757680678773</v>
      </c>
      <c r="U98" s="33">
        <f t="shared" si="6"/>
        <v>92.872802079988389</v>
      </c>
      <c r="V98" s="67">
        <f t="shared" si="7"/>
        <v>41.763884641219335</v>
      </c>
      <c r="W98" s="33" t="str">
        <f t="shared" si="8"/>
        <v>False</v>
      </c>
      <c r="X98" s="70">
        <f t="shared" si="15"/>
        <v>5.7126185623792404E-3</v>
      </c>
      <c r="Y98" s="71" t="str">
        <f t="shared" si="16"/>
        <v>False</v>
      </c>
      <c r="Z98">
        <f t="shared" si="17"/>
        <v>5.4371252569396287</v>
      </c>
      <c r="AA98">
        <f t="shared" si="18"/>
        <v>0.54667055999999992</v>
      </c>
      <c r="AB98" s="78">
        <f t="shared" si="19"/>
        <v>9.2441739937344867</v>
      </c>
      <c r="AC98" s="78" t="str">
        <f t="shared" si="20"/>
        <v>False</v>
      </c>
    </row>
    <row r="99" spans="1:29" ht="12.75" customHeight="1" x14ac:dyDescent="0.15">
      <c r="A99" s="1"/>
      <c r="J99" s="33">
        <f t="shared" si="10"/>
        <v>54</v>
      </c>
      <c r="K99" s="33">
        <f t="shared" si="11"/>
        <v>23.793229963245938</v>
      </c>
      <c r="L99" s="33">
        <f t="shared" si="12"/>
        <v>603.99404603218647</v>
      </c>
      <c r="M99" s="33">
        <f t="shared" si="13"/>
        <v>548.4645733177008</v>
      </c>
      <c r="N99" s="33">
        <f t="shared" si="0"/>
        <v>31.937577582760952</v>
      </c>
      <c r="O99" s="33">
        <f t="shared" si="1"/>
        <v>20.069934067254721</v>
      </c>
      <c r="P99" s="33" t="str">
        <f t="shared" si="2"/>
        <v>True</v>
      </c>
      <c r="Q99" s="33">
        <f t="shared" si="3"/>
        <v>20.069934067254721</v>
      </c>
      <c r="R99" s="33">
        <f t="shared" si="14"/>
        <v>52.133786272582505</v>
      </c>
      <c r="S99" s="33">
        <f t="shared" si="4"/>
        <v>0.31937577582760951</v>
      </c>
      <c r="T99" s="33">
        <f t="shared" si="5"/>
        <v>1.4672827436764941</v>
      </c>
      <c r="U99" s="33">
        <f t="shared" si="6"/>
        <v>95.366003013922153</v>
      </c>
      <c r="V99" s="67">
        <f t="shared" si="7"/>
        <v>42.13432975957901</v>
      </c>
      <c r="W99" s="33" t="str">
        <f t="shared" si="8"/>
        <v>False</v>
      </c>
      <c r="X99" s="70">
        <f t="shared" si="15"/>
        <v>5.622052840107368E-3</v>
      </c>
      <c r="Y99" s="71" t="str">
        <f t="shared" si="16"/>
        <v>False</v>
      </c>
      <c r="Z99">
        <f t="shared" si="17"/>
        <v>5.5096226336442138</v>
      </c>
      <c r="AA99">
        <f t="shared" si="18"/>
        <v>0.54667055999999992</v>
      </c>
      <c r="AB99" s="78">
        <f t="shared" si="19"/>
        <v>9.3674336820212556</v>
      </c>
      <c r="AC99" s="78" t="str">
        <f t="shared" si="20"/>
        <v>False</v>
      </c>
    </row>
    <row r="100" spans="1:29" ht="12.75" customHeight="1" x14ac:dyDescent="0.15">
      <c r="A100" s="2"/>
      <c r="B100" s="68"/>
      <c r="C100" s="68"/>
      <c r="D100" s="68"/>
      <c r="E100" s="68"/>
      <c r="F100" s="68"/>
      <c r="G100" s="68"/>
      <c r="H100" s="68"/>
      <c r="I100" s="68"/>
      <c r="J100" s="68">
        <f t="shared" si="10"/>
        <v>55</v>
      </c>
      <c r="K100" s="33">
        <f t="shared" si="11"/>
        <v>24.142440495558144</v>
      </c>
      <c r="L100" s="33">
        <f t="shared" si="12"/>
        <v>624.74080008584144</v>
      </c>
      <c r="M100" s="33">
        <f t="shared" si="13"/>
        <v>567.77852571414735</v>
      </c>
      <c r="N100" s="33">
        <f t="shared" si="0"/>
        <v>32.354773640226384</v>
      </c>
      <c r="O100" s="33">
        <f t="shared" si="1"/>
        <v>20.182845061393358</v>
      </c>
      <c r="P100" s="33" t="str">
        <f t="shared" si="2"/>
        <v>True</v>
      </c>
      <c r="Q100" s="33">
        <f t="shared" si="3"/>
        <v>20.182845061393358</v>
      </c>
      <c r="R100" s="33">
        <f t="shared" si="14"/>
        <v>53.504714840303599</v>
      </c>
      <c r="S100" s="33">
        <f t="shared" si="4"/>
        <v>0.32354773640226381</v>
      </c>
      <c r="T100" s="33">
        <f t="shared" si="5"/>
        <v>1.4864496505673694</v>
      </c>
      <c r="U100" s="33">
        <f t="shared" si="6"/>
        <v>97.873781314112833</v>
      </c>
      <c r="V100" s="67">
        <f t="shared" si="7"/>
        <v>42.500483748794714</v>
      </c>
      <c r="W100" s="33" t="str">
        <f t="shared" si="8"/>
        <v>False</v>
      </c>
      <c r="X100" s="70">
        <f t="shared" si="15"/>
        <v>5.5343904718812183E-3</v>
      </c>
      <c r="Y100" s="71" t="str">
        <f t="shared" si="16"/>
        <v>False</v>
      </c>
      <c r="Z100">
        <f t="shared" si="17"/>
        <v>5.5815940546113234</v>
      </c>
      <c r="AA100">
        <f t="shared" si="18"/>
        <v>0.54667056000000003</v>
      </c>
      <c r="AB100" s="78">
        <f t="shared" si="19"/>
        <v>9.4897991429138706</v>
      </c>
      <c r="AC100" s="78" t="str">
        <f t="shared" si="20"/>
        <v>False</v>
      </c>
    </row>
    <row r="101" spans="1:29" ht="12.75" customHeight="1" x14ac:dyDescent="0.15">
      <c r="A101" s="1"/>
      <c r="J101" s="33">
        <f t="shared" si="10"/>
        <v>56</v>
      </c>
      <c r="K101" s="33">
        <f t="shared" si="11"/>
        <v>24.489572405431399</v>
      </c>
      <c r="L101" s="33">
        <f t="shared" si="12"/>
        <v>645.77281295988234</v>
      </c>
      <c r="M101" s="33">
        <f t="shared" si="13"/>
        <v>587.37018363849245</v>
      </c>
      <c r="N101" s="33">
        <f t="shared" si="0"/>
        <v>32.769002088436004</v>
      </c>
      <c r="O101" s="33">
        <f t="shared" si="1"/>
        <v>20.293521571179333</v>
      </c>
      <c r="P101" s="33" t="str">
        <f t="shared" si="2"/>
        <v>True</v>
      </c>
      <c r="Q101" s="33">
        <f t="shared" si="3"/>
        <v>20.293521571179333</v>
      </c>
      <c r="R101" s="33">
        <f t="shared" si="14"/>
        <v>54.88349433567609</v>
      </c>
      <c r="S101" s="33">
        <f t="shared" si="4"/>
        <v>0.32769002088436006</v>
      </c>
      <c r="T101" s="33">
        <f t="shared" si="5"/>
        <v>1.5054802189447889</v>
      </c>
      <c r="U101" s="33">
        <f t="shared" si="6"/>
        <v>100.39592096504354</v>
      </c>
      <c r="V101" s="67">
        <f t="shared" si="7"/>
        <v>42.862479556879315</v>
      </c>
      <c r="W101" s="33" t="str">
        <f t="shared" si="8"/>
        <v>False</v>
      </c>
      <c r="X101" s="70">
        <f t="shared" si="15"/>
        <v>5.4494938701180624E-3</v>
      </c>
      <c r="Y101" s="71" t="str">
        <f t="shared" si="16"/>
        <v>False</v>
      </c>
      <c r="Z101">
        <f t="shared" si="17"/>
        <v>5.6530535266968638</v>
      </c>
      <c r="AA101">
        <f t="shared" si="18"/>
        <v>0.54667055999999992</v>
      </c>
      <c r="AB101" s="78">
        <f t="shared" si="19"/>
        <v>9.6112941908008054</v>
      </c>
      <c r="AC101" s="78" t="str">
        <f t="shared" si="20"/>
        <v>False</v>
      </c>
    </row>
    <row r="102" spans="1:29" ht="12.75" customHeight="1" x14ac:dyDescent="0.15">
      <c r="A102" s="1"/>
      <c r="J102" s="33">
        <f t="shared" si="10"/>
        <v>57</v>
      </c>
      <c r="K102" s="33">
        <f t="shared" si="11"/>
        <v>24.834678239411161</v>
      </c>
      <c r="L102" s="33">
        <f t="shared" si="12"/>
        <v>667.08835621357969</v>
      </c>
      <c r="M102" s="33">
        <f t="shared" si="13"/>
        <v>607.23792623002134</v>
      </c>
      <c r="N102" s="33">
        <f t="shared" si="0"/>
        <v>33.180340454254306</v>
      </c>
      <c r="O102" s="33">
        <f t="shared" si="1"/>
        <v>20.402050028076307</v>
      </c>
      <c r="P102" s="33" t="str">
        <f t="shared" si="2"/>
        <v>True</v>
      </c>
      <c r="Q102" s="33">
        <f t="shared" si="3"/>
        <v>20.402050028076307</v>
      </c>
      <c r="R102" s="33">
        <f t="shared" si="14"/>
        <v>56.27001073596707</v>
      </c>
      <c r="S102" s="33">
        <f t="shared" si="4"/>
        <v>0.33180340454254309</v>
      </c>
      <c r="T102" s="33">
        <f t="shared" si="5"/>
        <v>1.5243780105638713</v>
      </c>
      <c r="U102" s="33">
        <f t="shared" si="6"/>
        <v>102.93221339002977</v>
      </c>
      <c r="V102" s="67">
        <f t="shared" si="7"/>
        <v>43.220443544580021</v>
      </c>
      <c r="W102" s="33" t="str">
        <f t="shared" si="8"/>
        <v>False</v>
      </c>
      <c r="X102" s="70">
        <f t="shared" si="15"/>
        <v>5.3672339117323197E-3</v>
      </c>
      <c r="Y102" s="71" t="str">
        <f t="shared" si="16"/>
        <v>False</v>
      </c>
      <c r="Z102">
        <f t="shared" si="17"/>
        <v>5.7240144242328768</v>
      </c>
      <c r="AA102">
        <f t="shared" si="18"/>
        <v>0.54667055999999992</v>
      </c>
      <c r="AB102" s="78">
        <f t="shared" si="19"/>
        <v>9.7319415646565428</v>
      </c>
      <c r="AC102" s="78" t="str">
        <f t="shared" si="20"/>
        <v>False</v>
      </c>
    </row>
    <row r="103" spans="1:29" ht="12.75" customHeight="1" x14ac:dyDescent="0.15">
      <c r="A103" s="1"/>
      <c r="J103" s="33">
        <f t="shared" si="10"/>
        <v>58</v>
      </c>
      <c r="K103" s="33">
        <f t="shared" si="11"/>
        <v>25.177808245124343</v>
      </c>
      <c r="L103" s="33">
        <f t="shared" si="12"/>
        <v>688.6857452111127</v>
      </c>
      <c r="M103" s="33">
        <f t="shared" si="13"/>
        <v>627.38017282612077</v>
      </c>
      <c r="N103" s="33">
        <f t="shared" si="0"/>
        <v>33.588862828728047</v>
      </c>
      <c r="O103" s="33">
        <f t="shared" si="1"/>
        <v>20.508511954656623</v>
      </c>
      <c r="P103" s="33" t="str">
        <f t="shared" si="2"/>
        <v>True</v>
      </c>
      <c r="Q103" s="33">
        <f t="shared" si="3"/>
        <v>20.508511954656623</v>
      </c>
      <c r="R103" s="33">
        <f t="shared" si="14"/>
        <v>57.66415386871892</v>
      </c>
      <c r="S103" s="33">
        <f t="shared" si="4"/>
        <v>0.3358886282872805</v>
      </c>
      <c r="T103" s="33">
        <f t="shared" si="5"/>
        <v>1.5431464293306918</v>
      </c>
      <c r="U103" s="33">
        <f t="shared" si="6"/>
        <v>105.4824570555234</v>
      </c>
      <c r="V103" s="67">
        <f t="shared" si="7"/>
        <v>43.574495929119649</v>
      </c>
      <c r="W103" s="33" t="str">
        <f t="shared" si="8"/>
        <v>False</v>
      </c>
      <c r="X103" s="70">
        <f t="shared" si="15"/>
        <v>5.2874893107548639E-3</v>
      </c>
      <c r="Y103" s="71" t="str">
        <f t="shared" si="16"/>
        <v>False</v>
      </c>
      <c r="Z103">
        <f t="shared" si="17"/>
        <v>5.7944895288308391</v>
      </c>
      <c r="AA103">
        <f t="shared" si="18"/>
        <v>0.54667055999999992</v>
      </c>
      <c r="AB103" s="78">
        <f t="shared" si="19"/>
        <v>9.8517629957149282</v>
      </c>
      <c r="AC103" s="78" t="str">
        <f t="shared" si="20"/>
        <v>False</v>
      </c>
    </row>
    <row r="104" spans="1:29" ht="12.75" customHeight="1" x14ac:dyDescent="0.15">
      <c r="A104" s="1"/>
      <c r="J104" s="33">
        <f t="shared" si="10"/>
        <v>59</v>
      </c>
      <c r="K104" s="33">
        <f t="shared" si="11"/>
        <v>25.519010512569789</v>
      </c>
      <c r="L104" s="33">
        <f t="shared" si="12"/>
        <v>710.56333720740952</v>
      </c>
      <c r="M104" s="33">
        <f t="shared" si="13"/>
        <v>647.79538123617658</v>
      </c>
      <c r="N104" s="33">
        <f t="shared" si="0"/>
        <v>33.99464007935542</v>
      </c>
      <c r="O104" s="33">
        <f t="shared" si="1"/>
        <v>20.612984328841144</v>
      </c>
      <c r="P104" s="33" t="str">
        <f t="shared" si="2"/>
        <v>True</v>
      </c>
      <c r="Q104" s="33">
        <f t="shared" si="3"/>
        <v>20.612984328841144</v>
      </c>
      <c r="R104" s="33">
        <f t="shared" si="14"/>
        <v>59.065817210829152</v>
      </c>
      <c r="S104" s="33">
        <f t="shared" si="4"/>
        <v>0.3399464007935542</v>
      </c>
      <c r="T104" s="33">
        <f t="shared" si="5"/>
        <v>1.5617887310543954</v>
      </c>
      <c r="U104" s="33">
        <f t="shared" si="6"/>
        <v>108.04645710357836</v>
      </c>
      <c r="V104" s="67">
        <f t="shared" si="7"/>
        <v>43.924751190447594</v>
      </c>
      <c r="W104" s="33" t="str">
        <f t="shared" si="8"/>
        <v>False</v>
      </c>
      <c r="X104" s="70">
        <f t="shared" si="15"/>
        <v>5.2101460440578482E-3</v>
      </c>
      <c r="Y104" s="71" t="str">
        <f t="shared" si="16"/>
        <v>False</v>
      </c>
      <c r="Z104">
        <f t="shared" si="17"/>
        <v>5.864491066000685</v>
      </c>
      <c r="AA104">
        <f t="shared" si="18"/>
        <v>0.54667055999999992</v>
      </c>
      <c r="AB104" s="78">
        <f t="shared" si="19"/>
        <v>9.9707792697286628</v>
      </c>
      <c r="AC104" s="78" t="str">
        <f t="shared" si="20"/>
        <v>False</v>
      </c>
    </row>
    <row r="105" spans="1:29" ht="12.75" customHeight="1" x14ac:dyDescent="0.15">
      <c r="A105" s="2"/>
      <c r="B105" s="68"/>
      <c r="C105" s="68"/>
      <c r="D105" s="68"/>
      <c r="E105" s="68"/>
      <c r="F105" s="68"/>
      <c r="G105" s="68"/>
      <c r="H105" s="68"/>
      <c r="I105" s="68"/>
      <c r="J105" s="68">
        <f t="shared" si="10"/>
        <v>60</v>
      </c>
      <c r="K105" s="33">
        <f t="shared" si="11"/>
        <v>25.858331104321817</v>
      </c>
      <c r="L105" s="33">
        <f t="shared" si="12"/>
        <v>732.71952955132758</v>
      </c>
      <c r="M105" s="33">
        <f t="shared" si="13"/>
        <v>668.48204611963399</v>
      </c>
      <c r="N105" s="33">
        <f t="shared" si="0"/>
        <v>34.397740045676898</v>
      </c>
      <c r="O105" s="33">
        <f t="shared" si="1"/>
        <v>20.715539915013075</v>
      </c>
      <c r="P105" s="33" t="str">
        <f t="shared" si="2"/>
        <v>True</v>
      </c>
      <c r="Q105" s="33">
        <f t="shared" si="3"/>
        <v>20.715539915013075</v>
      </c>
      <c r="R105" s="33">
        <f t="shared" si="14"/>
        <v>60.474897701664844</v>
      </c>
      <c r="S105" s="33">
        <f t="shared" si="4"/>
        <v>0.343977400456769</v>
      </c>
      <c r="T105" s="33">
        <f t="shared" si="5"/>
        <v>1.5803080324330741</v>
      </c>
      <c r="U105" s="33">
        <f t="shared" si="6"/>
        <v>110.6240250099893</v>
      </c>
      <c r="V105" s="67">
        <f t="shared" si="7"/>
        <v>44.271318443785631</v>
      </c>
      <c r="W105" s="33" t="str">
        <f t="shared" si="8"/>
        <v>False</v>
      </c>
      <c r="X105" s="70">
        <f t="shared" si="15"/>
        <v>5.1350968252923384E-3</v>
      </c>
      <c r="Y105" s="71" t="str">
        <f t="shared" si="16"/>
        <v>False</v>
      </c>
      <c r="Z105">
        <f t="shared" si="17"/>
        <v>5.9340307388926208</v>
      </c>
      <c r="AA105">
        <f t="shared" si="18"/>
        <v>0.54667055999999992</v>
      </c>
      <c r="AB105" s="78">
        <f t="shared" si="19"/>
        <v>10.089010284336972</v>
      </c>
      <c r="AC105" s="78" t="str">
        <f t="shared" si="20"/>
        <v>False</v>
      </c>
    </row>
    <row r="106" spans="1:29" ht="12.75" customHeight="1" x14ac:dyDescent="0.15">
      <c r="A106" s="1"/>
      <c r="J106" s="33">
        <f t="shared" si="10"/>
        <v>61</v>
      </c>
      <c r="K106" s="33">
        <f t="shared" si="11"/>
        <v>26.19581417569837</v>
      </c>
      <c r="L106" s="33">
        <f t="shared" si="12"/>
        <v>755.15275799699725</v>
      </c>
      <c r="M106" s="33">
        <f t="shared" si="13"/>
        <v>689.43869746019266</v>
      </c>
      <c r="N106" s="33">
        <f t="shared" si="0"/>
        <v>34.798227719767901</v>
      </c>
      <c r="O106" s="33">
        <f t="shared" si="1"/>
        <v>20.816247565552679</v>
      </c>
      <c r="P106" s="33" t="str">
        <f t="shared" si="2"/>
        <v>True</v>
      </c>
      <c r="Q106" s="33">
        <f t="shared" si="3"/>
        <v>20.816247565552679</v>
      </c>
      <c r="R106" s="33">
        <f t="shared" si="14"/>
        <v>61.891295568993186</v>
      </c>
      <c r="S106" s="33">
        <f t="shared" si="4"/>
        <v>0.34798227719767899</v>
      </c>
      <c r="T106" s="33">
        <f t="shared" si="5"/>
        <v>1.5987073193459937</v>
      </c>
      <c r="U106" s="33">
        <f t="shared" si="6"/>
        <v>113.21497826587404</v>
      </c>
      <c r="V106" s="67">
        <f t="shared" si="7"/>
        <v>44.614301781811719</v>
      </c>
      <c r="W106" s="33" t="str">
        <f t="shared" si="8"/>
        <v>False</v>
      </c>
      <c r="X106" s="70">
        <f t="shared" si="15"/>
        <v>5.0622406226139951E-3</v>
      </c>
      <c r="Y106" s="71" t="str">
        <f t="shared" si="16"/>
        <v>False</v>
      </c>
      <c r="Z106">
        <f t="shared" si="17"/>
        <v>6.0031197594343144</v>
      </c>
      <c r="AA106">
        <f t="shared" si="18"/>
        <v>0.54667056000000003</v>
      </c>
      <c r="AB106" s="78">
        <f t="shared" si="19"/>
        <v>10.206475102004903</v>
      </c>
      <c r="AC106" s="78" t="str">
        <f t="shared" si="20"/>
        <v>False</v>
      </c>
    </row>
    <row r="107" spans="1:29" ht="12.75" customHeight="1" x14ac:dyDescent="0.15">
      <c r="A107" s="1"/>
      <c r="J107" s="33">
        <f t="shared" si="10"/>
        <v>62</v>
      </c>
      <c r="K107" s="33">
        <f t="shared" si="11"/>
        <v>26.531502085828876</v>
      </c>
      <c r="L107" s="33">
        <f t="shared" si="12"/>
        <v>777.86149511501469</v>
      </c>
      <c r="M107" s="33">
        <f t="shared" si="13"/>
        <v>710.66389912885575</v>
      </c>
      <c r="N107" s="33">
        <f t="shared" si="0"/>
        <v>35.196165413038564</v>
      </c>
      <c r="O107" s="33">
        <f t="shared" si="1"/>
        <v>20.915172495904955</v>
      </c>
      <c r="P107" s="33" t="str">
        <f t="shared" si="2"/>
        <v>True</v>
      </c>
      <c r="Q107" s="33">
        <f t="shared" si="3"/>
        <v>20.915172495904955</v>
      </c>
      <c r="R107" s="33">
        <f t="shared" si="14"/>
        <v>63.314914166634139</v>
      </c>
      <c r="S107" s="33">
        <f t="shared" si="4"/>
        <v>0.35196165413038566</v>
      </c>
      <c r="T107" s="33">
        <f t="shared" si="5"/>
        <v>1.6169894545167478</v>
      </c>
      <c r="U107" s="33">
        <f t="shared" si="6"/>
        <v>115.81914008069897</v>
      </c>
      <c r="V107" s="67">
        <f t="shared" si="7"/>
        <v>44.953800589440498</v>
      </c>
      <c r="W107" s="33" t="str">
        <f t="shared" si="8"/>
        <v>False</v>
      </c>
      <c r="X107" s="70">
        <f t="shared" si="15"/>
        <v>4.9914822161890287E-3</v>
      </c>
      <c r="Y107" s="71" t="str">
        <f t="shared" si="16"/>
        <v>False</v>
      </c>
      <c r="Z107">
        <f t="shared" si="17"/>
        <v>6.0717688771058969</v>
      </c>
      <c r="AA107">
        <f t="shared" si="18"/>
        <v>0.54667055999999992</v>
      </c>
      <c r="AB107" s="78">
        <f t="shared" si="19"/>
        <v>10.32319199894644</v>
      </c>
      <c r="AC107" s="78" t="str">
        <f t="shared" si="20"/>
        <v>False</v>
      </c>
    </row>
    <row r="108" spans="1:29" ht="12.75" customHeight="1" x14ac:dyDescent="0.15">
      <c r="A108" s="1"/>
      <c r="J108" s="33">
        <f t="shared" si="10"/>
        <v>63</v>
      </c>
      <c r="K108" s="33">
        <f t="shared" si="11"/>
        <v>26.865435500454726</v>
      </c>
      <c r="L108" s="33">
        <f t="shared" si="12"/>
        <v>800.84424879594462</v>
      </c>
      <c r="M108" s="33">
        <f t="shared" si="13"/>
        <v>732.15624752921951</v>
      </c>
      <c r="N108" s="33">
        <f t="shared" si="0"/>
        <v>35.591612910594456</v>
      </c>
      <c r="O108" s="33">
        <f t="shared" si="1"/>
        <v>21.012376535917127</v>
      </c>
      <c r="P108" s="33" t="str">
        <f t="shared" si="2"/>
        <v>True</v>
      </c>
      <c r="Q108" s="33">
        <f t="shared" si="3"/>
        <v>21.012376535917127</v>
      </c>
      <c r="R108" s="33">
        <f t="shared" si="14"/>
        <v>64.74565982285479</v>
      </c>
      <c r="S108" s="33">
        <f t="shared" si="4"/>
        <v>0.35591612910594456</v>
      </c>
      <c r="T108" s="33">
        <f t="shared" si="5"/>
        <v>1.6351571846049244</v>
      </c>
      <c r="U108" s="33">
        <f t="shared" si="6"/>
        <v>118.43633910495345</v>
      </c>
      <c r="V108" s="67">
        <f t="shared" si="7"/>
        <v>45.289909833826144</v>
      </c>
      <c r="W108" s="33" t="str">
        <f t="shared" si="8"/>
        <v>False</v>
      </c>
      <c r="X108" s="70">
        <f t="shared" si="15"/>
        <v>4.9227317918528433E-3</v>
      </c>
      <c r="Y108" s="71" t="str">
        <f t="shared" si="16"/>
        <v>False</v>
      </c>
      <c r="Z108">
        <f t="shared" si="17"/>
        <v>6.139988405569067</v>
      </c>
      <c r="AA108">
        <f t="shared" si="18"/>
        <v>0.54667055999999992</v>
      </c>
      <c r="AB108" s="78">
        <f t="shared" si="19"/>
        <v>10.439178510399193</v>
      </c>
      <c r="AC108" s="78" t="str">
        <f t="shared" si="20"/>
        <v>False</v>
      </c>
    </row>
    <row r="109" spans="1:29" ht="12.75" customHeight="1" x14ac:dyDescent="0.15">
      <c r="A109" s="1"/>
      <c r="J109" s="33">
        <f t="shared" si="10"/>
        <v>64</v>
      </c>
      <c r="K109" s="33">
        <f t="shared" si="11"/>
        <v>27.197653487207482</v>
      </c>
      <c r="L109" s="33">
        <f t="shared" si="12"/>
        <v>824.09956083928182</v>
      </c>
      <c r="M109" s="33">
        <f t="shared" si="13"/>
        <v>753.91437031898545</v>
      </c>
      <c r="N109" s="33">
        <f t="shared" si="0"/>
        <v>35.984627614277215</v>
      </c>
      <c r="O109" s="33">
        <f t="shared" si="1"/>
        <v>21.107918359858601</v>
      </c>
      <c r="P109" s="33" t="str">
        <f t="shared" ref="P109:P146" si="21">IF(P108="True", "True", IF(O109&gt;N109,"True","False"))</f>
        <v>True</v>
      </c>
      <c r="Q109" s="33">
        <f t="shared" si="3"/>
        <v>21.107918359858601</v>
      </c>
      <c r="R109" s="33">
        <f t="shared" si="14"/>
        <v>66.183441698619234</v>
      </c>
      <c r="S109" s="33">
        <f t="shared" si="4"/>
        <v>0.35984627614277215</v>
      </c>
      <c r="T109" s="33">
        <f t="shared" si="5"/>
        <v>1.6532131467777136</v>
      </c>
      <c r="U109" s="33">
        <f t="shared" si="6"/>
        <v>121.06640917085281</v>
      </c>
      <c r="V109" s="67">
        <f t="shared" si="7"/>
        <v>45.622720331920902</v>
      </c>
      <c r="W109" s="33" t="str">
        <f t="shared" si="8"/>
        <v>False</v>
      </c>
      <c r="X109" s="70">
        <f t="shared" si="15"/>
        <v>4.8559045676491138E-3</v>
      </c>
      <c r="Y109" s="71" t="str">
        <f t="shared" si="16"/>
        <v>False</v>
      </c>
      <c r="Z109">
        <f t="shared" si="17"/>
        <v>6.2077882473433634</v>
      </c>
      <c r="AA109">
        <f t="shared" si="18"/>
        <v>0.54667055999999992</v>
      </c>
      <c r="AB109" s="78">
        <f t="shared" si="19"/>
        <v>10.554451472578851</v>
      </c>
      <c r="AC109" s="78" t="str">
        <f t="shared" si="20"/>
        <v>False</v>
      </c>
    </row>
    <row r="110" spans="1:29" ht="12.75" customHeight="1" x14ac:dyDescent="0.15">
      <c r="A110" s="2"/>
      <c r="B110" s="68"/>
      <c r="C110" s="68"/>
      <c r="D110" s="68"/>
      <c r="E110" s="68"/>
      <c r="F110" s="68"/>
      <c r="G110" s="68"/>
      <c r="H110" s="68"/>
      <c r="I110" s="68"/>
      <c r="J110" s="68">
        <f t="shared" ref="J110:J146" si="22">J109+1</f>
        <v>65</v>
      </c>
      <c r="K110" s="33">
        <f t="shared" si="11"/>
        <v>27.52819360403031</v>
      </c>
      <c r="L110" s="33">
        <f t="shared" si="12"/>
        <v>847.62600562163504</v>
      </c>
      <c r="M110" s="33">
        <f t="shared" ref="M110:M146" si="23">M109+($C$3*(K110^$C$4))</f>
        <v>775.93692520220975</v>
      </c>
      <c r="N110" s="33">
        <f t="shared" si="0"/>
        <v>36.375264675388124</v>
      </c>
      <c r="O110" s="33">
        <f t="shared" si="1"/>
        <v>21.201853697254883</v>
      </c>
      <c r="P110" s="33" t="str">
        <f t="shared" si="21"/>
        <v>True</v>
      </c>
      <c r="Q110" s="33">
        <f t="shared" si="3"/>
        <v>21.201853697254883</v>
      </c>
      <c r="R110" s="33">
        <f t="shared" si="14"/>
        <v>67.628171654898665</v>
      </c>
      <c r="S110" s="33">
        <f t="shared" si="4"/>
        <v>0.36375264675388125</v>
      </c>
      <c r="T110" s="33">
        <f t="shared" si="5"/>
        <v>1.6711598748075165</v>
      </c>
      <c r="U110" s="33">
        <f t="shared" si="6"/>
        <v>123.70918904961458</v>
      </c>
      <c r="V110" s="67">
        <f t="shared" si="7"/>
        <v>45.952318997669124</v>
      </c>
      <c r="W110" s="33" t="str">
        <f t="shared" si="8"/>
        <v>False</v>
      </c>
      <c r="X110" s="70">
        <f t="shared" ref="X110:X144" si="24">ABS((M110+R110)-L110)/L110</f>
        <v>4.7909204502856488E-3</v>
      </c>
      <c r="Y110" s="71" t="str">
        <f t="shared" ref="Y110:Y144" si="25">IF(X110&gt;($H$42/100),"True","False")</f>
        <v>False</v>
      </c>
      <c r="Z110">
        <f t="shared" ref="Z110:Z134" si="26">SQRT(U110/PI())</f>
        <v>6.2751779167025905</v>
      </c>
      <c r="AA110">
        <f t="shared" ref="AA110:AA134" si="27">IF(U110=0,0,R110/U110)</f>
        <v>0.54667055999999992</v>
      </c>
      <c r="AB110" s="78">
        <f t="shared" ref="AB110:AB134" si="28">(S110/2)*((3*$C$41*1000000/(8*AA110*9.81))^(1/3))*($H$43^(-1/6))</f>
        <v>10.669027061607597</v>
      </c>
      <c r="AC110" s="78" t="str">
        <f t="shared" ref="AC110:AC134" si="29">IF(Z110&gt;AB110,"True","False")</f>
        <v>False</v>
      </c>
    </row>
    <row r="111" spans="1:29" ht="12.75" customHeight="1" x14ac:dyDescent="0.15">
      <c r="A111" s="1"/>
      <c r="J111" s="33">
        <f t="shared" si="22"/>
        <v>66</v>
      </c>
      <c r="K111" s="33">
        <f t="shared" si="11"/>
        <v>27.857091981340325</v>
      </c>
      <c r="L111" s="33">
        <f t="shared" si="12"/>
        <v>871.42218883844873</v>
      </c>
      <c r="M111" s="33">
        <f t="shared" si="23"/>
        <v>798.22259878728198</v>
      </c>
      <c r="N111" s="33">
        <f t="shared" si="0"/>
        <v>36.763577117992355</v>
      </c>
      <c r="O111" s="33">
        <f t="shared" si="1"/>
        <v>21.294235526422376</v>
      </c>
      <c r="P111" s="33" t="str">
        <f t="shared" si="21"/>
        <v>True</v>
      </c>
      <c r="Q111" s="33">
        <f t="shared" si="3"/>
        <v>21.294235526422376</v>
      </c>
      <c r="R111" s="33">
        <f t="shared" si="14"/>
        <v>69.079764128318104</v>
      </c>
      <c r="S111" s="33">
        <f t="shared" si="4"/>
        <v>0.36763577117992358</v>
      </c>
      <c r="T111" s="33">
        <f t="shared" si="5"/>
        <v>1.6889998047368173</v>
      </c>
      <c r="U111" s="33">
        <f t="shared" si="6"/>
        <v>126.36452222398461</v>
      </c>
      <c r="V111" s="67">
        <f t="shared" si="7"/>
        <v>46.278789070692028</v>
      </c>
      <c r="W111" s="33" t="str">
        <f t="shared" si="8"/>
        <v>False</v>
      </c>
      <c r="X111" s="70">
        <f t="shared" si="24"/>
        <v>4.7277037188370894E-3</v>
      </c>
      <c r="Y111" s="71" t="str">
        <f t="shared" si="25"/>
        <v>False</v>
      </c>
      <c r="Z111">
        <f t="shared" si="26"/>
        <v>6.3421665609463167</v>
      </c>
      <c r="AA111">
        <f t="shared" si="27"/>
        <v>0.54667055999999992</v>
      </c>
      <c r="AB111" s="78">
        <f t="shared" si="28"/>
        <v>10.782920829679796</v>
      </c>
      <c r="AC111" s="78" t="str">
        <f t="shared" si="29"/>
        <v>False</v>
      </c>
    </row>
    <row r="112" spans="1:29" ht="12.75" customHeight="1" x14ac:dyDescent="0.15">
      <c r="A112" s="1"/>
      <c r="J112" s="33">
        <f t="shared" si="22"/>
        <v>67</v>
      </c>
      <c r="K112" s="33">
        <f t="shared" si="11"/>
        <v>28.184383398468078</v>
      </c>
      <c r="L112" s="33">
        <f t="shared" si="12"/>
        <v>895.48674631406811</v>
      </c>
      <c r="M112" s="33">
        <f t="shared" si="23"/>
        <v>820.77010550605644</v>
      </c>
      <c r="N112" s="33">
        <f t="shared" si="0"/>
        <v>37.149615953612233</v>
      </c>
      <c r="O112" s="33">
        <f t="shared" si="1"/>
        <v>21.385114252378486</v>
      </c>
      <c r="P112" s="33" t="str">
        <f t="shared" si="21"/>
        <v>True</v>
      </c>
      <c r="Q112" s="33">
        <f t="shared" si="3"/>
        <v>21.385114252378486</v>
      </c>
      <c r="R112" s="33">
        <f t="shared" si="14"/>
        <v>70.538136014489439</v>
      </c>
      <c r="S112" s="33">
        <f t="shared" si="4"/>
        <v>0.37149615953612231</v>
      </c>
      <c r="T112" s="33">
        <f t="shared" si="5"/>
        <v>1.7067352801474429</v>
      </c>
      <c r="U112" s="33">
        <f t="shared" si="6"/>
        <v>129.0322566748234</v>
      </c>
      <c r="V112" s="67">
        <f t="shared" si="7"/>
        <v>46.602210328123604</v>
      </c>
      <c r="W112" s="33" t="str">
        <f t="shared" si="8"/>
        <v>False</v>
      </c>
      <c r="X112" s="70">
        <f t="shared" si="24"/>
        <v>4.6661827332693763E-3</v>
      </c>
      <c r="Y112" s="71" t="str">
        <f t="shared" si="25"/>
        <v>False</v>
      </c>
      <c r="Z112">
        <f t="shared" si="26"/>
        <v>6.4087629801858563</v>
      </c>
      <c r="AA112">
        <f t="shared" si="27"/>
        <v>0.54667055999999992</v>
      </c>
      <c r="AB112" s="78">
        <f t="shared" si="28"/>
        <v>10.896147738702032</v>
      </c>
      <c r="AC112" s="78" t="str">
        <f t="shared" si="29"/>
        <v>False</v>
      </c>
    </row>
    <row r="113" spans="1:29" ht="12.75" customHeight="1" x14ac:dyDescent="0.15">
      <c r="A113" s="1"/>
      <c r="J113" s="33">
        <f t="shared" si="22"/>
        <v>68</v>
      </c>
      <c r="K113" s="33">
        <f t="shared" si="11"/>
        <v>28.510101354857181</v>
      </c>
      <c r="L113" s="33">
        <f t="shared" si="12"/>
        <v>919.818342875403</v>
      </c>
      <c r="M113" s="33">
        <f t="shared" si="23"/>
        <v>843.57818658994222</v>
      </c>
      <c r="N113" s="33">
        <f t="shared" si="0"/>
        <v>37.533430288035561</v>
      </c>
      <c r="O113" s="33">
        <f t="shared" si="1"/>
        <v>21.474537870615116</v>
      </c>
      <c r="P113" s="33" t="str">
        <f t="shared" si="21"/>
        <v>True</v>
      </c>
      <c r="Q113" s="33">
        <f t="shared" si="3"/>
        <v>21.474537870615116</v>
      </c>
      <c r="R113" s="33">
        <f t="shared" si="14"/>
        <v>72.003206558437711</v>
      </c>
      <c r="S113" s="33">
        <f t="shared" si="4"/>
        <v>0.37533430288035557</v>
      </c>
      <c r="T113" s="33">
        <f t="shared" si="5"/>
        <v>1.7243685570675749</v>
      </c>
      <c r="U113" s="33">
        <f t="shared" si="6"/>
        <v>131.71224468066785</v>
      </c>
      <c r="V113" s="67">
        <f t="shared" si="7"/>
        <v>46.922659281084435</v>
      </c>
      <c r="W113" s="33" t="str">
        <f t="shared" si="8"/>
        <v>False</v>
      </c>
      <c r="X113" s="70">
        <f t="shared" si="24"/>
        <v>4.6062896656074099E-3</v>
      </c>
      <c r="Y113" s="71" t="str">
        <f t="shared" si="25"/>
        <v>False</v>
      </c>
      <c r="Z113">
        <f t="shared" si="26"/>
        <v>6.4749756457700265</v>
      </c>
      <c r="AA113">
        <f t="shared" si="27"/>
        <v>0.54667055999999992</v>
      </c>
      <c r="AB113" s="78">
        <f t="shared" si="28"/>
        <v>11.008722191620475</v>
      </c>
      <c r="AC113" s="78" t="str">
        <f t="shared" si="29"/>
        <v>False</v>
      </c>
    </row>
    <row r="114" spans="1:29" ht="12.75" customHeight="1" x14ac:dyDescent="0.15">
      <c r="A114" s="1"/>
      <c r="J114" s="33">
        <f t="shared" si="22"/>
        <v>69</v>
      </c>
      <c r="K114" s="33">
        <f t="shared" si="11"/>
        <v>28.834278136459062</v>
      </c>
      <c r="L114" s="33">
        <f t="shared" si="12"/>
        <v>944.41567128483894</v>
      </c>
      <c r="M114" s="33">
        <f t="shared" si="23"/>
        <v>866.64560909910949</v>
      </c>
      <c r="N114" s="33">
        <f t="shared" si="0"/>
        <v>37.915067420894594</v>
      </c>
      <c r="O114" s="33">
        <f t="shared" si="1"/>
        <v>21.562552118061397</v>
      </c>
      <c r="P114" s="33" t="str">
        <f t="shared" si="21"/>
        <v>True</v>
      </c>
      <c r="Q114" s="33">
        <f t="shared" si="3"/>
        <v>21.562552118061397</v>
      </c>
      <c r="R114" s="33">
        <f t="shared" si="14"/>
        <v>73.47489725158357</v>
      </c>
      <c r="S114" s="33">
        <f t="shared" si="4"/>
        <v>0.37915067420894594</v>
      </c>
      <c r="T114" s="33">
        <f t="shared" si="5"/>
        <v>1.7419018085466258</v>
      </c>
      <c r="U114" s="33">
        <f t="shared" si="6"/>
        <v>134.40434262928585</v>
      </c>
      <c r="V114" s="67">
        <f t="shared" si="7"/>
        <v>47.240209357128833</v>
      </c>
      <c r="W114" s="33" t="str">
        <f t="shared" si="8"/>
        <v>False</v>
      </c>
      <c r="X114" s="70">
        <f t="shared" si="24"/>
        <v>4.5479602517633751E-3</v>
      </c>
      <c r="Y114" s="71" t="str">
        <f t="shared" si="25"/>
        <v>False</v>
      </c>
      <c r="Z114">
        <f t="shared" si="26"/>
        <v>6.5408127174637238</v>
      </c>
      <c r="AA114">
        <f t="shared" si="27"/>
        <v>0.54667056000000003</v>
      </c>
      <c r="AB114" s="78">
        <f t="shared" si="28"/>
        <v>11.120658061627831</v>
      </c>
      <c r="AC114" s="78" t="str">
        <f t="shared" si="29"/>
        <v>False</v>
      </c>
    </row>
    <row r="115" spans="1:29" ht="12.75" customHeight="1" x14ac:dyDescent="0.15">
      <c r="A115" s="2"/>
      <c r="B115" s="68"/>
      <c r="C115" s="68"/>
      <c r="D115" s="68"/>
      <c r="E115" s="68"/>
      <c r="F115" s="68"/>
      <c r="G115" s="68"/>
      <c r="H115" s="68"/>
      <c r="I115" s="68"/>
      <c r="J115" s="68">
        <f t="shared" si="22"/>
        <v>70</v>
      </c>
      <c r="K115" s="33">
        <f t="shared" si="11"/>
        <v>29.156944877716061</v>
      </c>
      <c r="L115" s="33">
        <f t="shared" si="12"/>
        <v>969.27745122840918</v>
      </c>
      <c r="M115" s="33">
        <f t="shared" si="23"/>
        <v>889.97116500128232</v>
      </c>
      <c r="N115" s="33">
        <f t="shared" si="0"/>
        <v>38.294572938606926</v>
      </c>
      <c r="O115" s="33">
        <f t="shared" si="1"/>
        <v>21.649200612418429</v>
      </c>
      <c r="P115" s="33" t="str">
        <f t="shared" si="21"/>
        <v>True</v>
      </c>
      <c r="Q115" s="33">
        <f t="shared" si="3"/>
        <v>21.649200612418429</v>
      </c>
      <c r="R115" s="33">
        <f t="shared" si="14"/>
        <v>74.953131734792393</v>
      </c>
      <c r="S115" s="33">
        <f t="shared" si="4"/>
        <v>0.38294572938606924</v>
      </c>
      <c r="T115" s="33">
        <f t="shared" si="5"/>
        <v>1.7593371289251469</v>
      </c>
      <c r="U115" s="33">
        <f t="shared" si="6"/>
        <v>137.10841084032839</v>
      </c>
      <c r="V115" s="67">
        <f t="shared" si="7"/>
        <v>47.55493106986512</v>
      </c>
      <c r="W115" s="33" t="str">
        <f t="shared" si="8"/>
        <v>False</v>
      </c>
      <c r="X115" s="70">
        <f t="shared" si="24"/>
        <v>4.4911335622401629E-3</v>
      </c>
      <c r="Y115" s="71" t="str">
        <f t="shared" si="25"/>
        <v>False</v>
      </c>
      <c r="Z115">
        <f t="shared" si="26"/>
        <v>6.6062820594813649</v>
      </c>
      <c r="AA115">
        <f t="shared" si="27"/>
        <v>0.54667056000000003</v>
      </c>
      <c r="AB115" s="78">
        <f t="shared" si="28"/>
        <v>11.231968719423314</v>
      </c>
      <c r="AC115" s="78" t="str">
        <f t="shared" si="29"/>
        <v>False</v>
      </c>
    </row>
    <row r="116" spans="1:29" ht="12.75" customHeight="1" x14ac:dyDescent="0.15">
      <c r="A116" s="1"/>
      <c r="J116" s="33">
        <f t="shared" si="22"/>
        <v>71</v>
      </c>
      <c r="K116" s="33">
        <f t="shared" si="11"/>
        <v>29.478131619487801</v>
      </c>
      <c r="L116" s="33">
        <f t="shared" si="12"/>
        <v>994.40242835556251</v>
      </c>
      <c r="M116" s="33">
        <f t="shared" si="23"/>
        <v>913.55367029687261</v>
      </c>
      <c r="N116" s="33">
        <f t="shared" si="0"/>
        <v>38.671990801213646</v>
      </c>
      <c r="O116" s="33">
        <f t="shared" si="1"/>
        <v>21.734524980923677</v>
      </c>
      <c r="P116" s="33" t="str">
        <f t="shared" si="21"/>
        <v>True</v>
      </c>
      <c r="Q116" s="33">
        <f t="shared" si="3"/>
        <v>21.734524980923677</v>
      </c>
      <c r="R116" s="33">
        <f t="shared" si="14"/>
        <v>76.437835707045608</v>
      </c>
      <c r="S116" s="33">
        <f t="shared" si="4"/>
        <v>0.38671990801213646</v>
      </c>
      <c r="T116" s="33">
        <f t="shared" si="5"/>
        <v>1.7766765378243687</v>
      </c>
      <c r="U116" s="33">
        <f t="shared" si="6"/>
        <v>139.82431339826607</v>
      </c>
      <c r="V116" s="67">
        <f t="shared" si="7"/>
        <v>47.866892176830774</v>
      </c>
      <c r="W116" s="33" t="str">
        <f t="shared" si="8"/>
        <v>False</v>
      </c>
      <c r="X116" s="70">
        <f t="shared" si="24"/>
        <v>4.4357517900862802E-3</v>
      </c>
      <c r="Y116" s="71" t="str">
        <f t="shared" si="25"/>
        <v>False</v>
      </c>
      <c r="Z116">
        <f t="shared" si="26"/>
        <v>6.6713912554675394</v>
      </c>
      <c r="AA116">
        <f t="shared" si="27"/>
        <v>0.54667055999999992</v>
      </c>
      <c r="AB116" s="78">
        <f t="shared" si="28"/>
        <v>11.342667058682675</v>
      </c>
      <c r="AC116" s="78" t="str">
        <f t="shared" si="29"/>
        <v>False</v>
      </c>
    </row>
    <row r="117" spans="1:29" ht="12.75" customHeight="1" x14ac:dyDescent="0.15">
      <c r="A117" s="1"/>
      <c r="J117" s="33">
        <f t="shared" si="22"/>
        <v>72</v>
      </c>
      <c r="K117" s="33">
        <f t="shared" si="11"/>
        <v>29.797867363243309</v>
      </c>
      <c r="L117" s="33">
        <f t="shared" si="12"/>
        <v>1019.7893733671615</v>
      </c>
      <c r="M117" s="33">
        <f t="shared" si="23"/>
        <v>937.39196418746724</v>
      </c>
      <c r="N117" s="33">
        <f t="shared" si="0"/>
        <v>39.047363423599215</v>
      </c>
      <c r="O117" s="33">
        <f t="shared" si="1"/>
        <v>21.818564979492034</v>
      </c>
      <c r="P117" s="33" t="str">
        <f t="shared" si="21"/>
        <v>True</v>
      </c>
      <c r="Q117" s="33">
        <f t="shared" si="3"/>
        <v>21.818564979492034</v>
      </c>
      <c r="R117" s="33">
        <f t="shared" si="14"/>
        <v>77.928936839325715</v>
      </c>
      <c r="S117" s="33">
        <f t="shared" si="4"/>
        <v>0.39047363423599213</v>
      </c>
      <c r="T117" s="33">
        <f t="shared" si="5"/>
        <v>1.7939219838776166</v>
      </c>
      <c r="U117" s="33">
        <f t="shared" si="6"/>
        <v>142.55191799486281</v>
      </c>
      <c r="V117" s="67">
        <f t="shared" si="7"/>
        <v>48.176157826597191</v>
      </c>
      <c r="W117" s="33" t="str">
        <f t="shared" si="8"/>
        <v>False</v>
      </c>
      <c r="X117" s="70">
        <f t="shared" si="24"/>
        <v>4.3817600546418988E-3</v>
      </c>
      <c r="Y117" s="71" t="str">
        <f t="shared" si="25"/>
        <v>False</v>
      </c>
      <c r="Z117">
        <f t="shared" si="26"/>
        <v>6.7361476225084198</v>
      </c>
      <c r="AA117">
        <f t="shared" si="27"/>
        <v>0.54667055999999992</v>
      </c>
      <c r="AB117" s="78">
        <f t="shared" si="28"/>
        <v>11.452765519880346</v>
      </c>
      <c r="AC117" s="78" t="str">
        <f t="shared" si="29"/>
        <v>False</v>
      </c>
    </row>
    <row r="118" spans="1:29" ht="12.75" customHeight="1" x14ac:dyDescent="0.15">
      <c r="A118" s="1"/>
      <c r="J118" s="33">
        <f t="shared" si="22"/>
        <v>73</v>
      </c>
      <c r="K118" s="33">
        <f t="shared" si="11"/>
        <v>30.116180121810203</v>
      </c>
      <c r="L118" s="33">
        <f t="shared" si="12"/>
        <v>1045.4370811486033</v>
      </c>
      <c r="M118" s="33">
        <f t="shared" si="23"/>
        <v>961.48490828491538</v>
      </c>
      <c r="N118" s="33">
        <f t="shared" si="0"/>
        <v>39.420731751533182</v>
      </c>
      <c r="O118" s="33">
        <f t="shared" si="1"/>
        <v>21.901358603083231</v>
      </c>
      <c r="P118" s="33" t="str">
        <f t="shared" si="21"/>
        <v>True</v>
      </c>
      <c r="Q118" s="33">
        <f t="shared" si="3"/>
        <v>21.901358603083231</v>
      </c>
      <c r="R118" s="33">
        <f t="shared" si="14"/>
        <v>79.426364693346102</v>
      </c>
      <c r="S118" s="33">
        <f t="shared" si="4"/>
        <v>0.39420731751533183</v>
      </c>
      <c r="T118" s="33">
        <f t="shared" si="5"/>
        <v>1.8110753482238398</v>
      </c>
      <c r="U118" s="33">
        <f t="shared" si="6"/>
        <v>145.29109578051197</v>
      </c>
      <c r="V118" s="67">
        <f t="shared" si="7"/>
        <v>48.482790695985983</v>
      </c>
      <c r="W118" s="33" t="str">
        <f t="shared" si="8"/>
        <v>False</v>
      </c>
      <c r="X118" s="70">
        <f t="shared" si="24"/>
        <v>4.3291062197348459E-3</v>
      </c>
      <c r="Y118" s="71" t="str">
        <f t="shared" si="25"/>
        <v>False</v>
      </c>
      <c r="Z118">
        <f t="shared" si="26"/>
        <v>6.8005582242499028</v>
      </c>
      <c r="AA118">
        <f t="shared" si="27"/>
        <v>0.54667055999999992</v>
      </c>
      <c r="AB118" s="78">
        <f t="shared" si="28"/>
        <v>11.562276112592816</v>
      </c>
      <c r="AC118" s="78" t="str">
        <f t="shared" si="29"/>
        <v>False</v>
      </c>
    </row>
    <row r="119" spans="1:29" ht="12.75" customHeight="1" x14ac:dyDescent="0.15">
      <c r="A119" s="1"/>
      <c r="J119" s="33">
        <f t="shared" si="22"/>
        <v>74</v>
      </c>
      <c r="K119" s="33">
        <f t="shared" si="11"/>
        <v>30.433096966946977</v>
      </c>
      <c r="L119" s="33">
        <f t="shared" si="12"/>
        <v>1071.3443699452084</v>
      </c>
      <c r="M119" s="33">
        <f t="shared" si="23"/>
        <v>985.83138585847291</v>
      </c>
      <c r="N119" s="33">
        <f t="shared" si="0"/>
        <v>39.792135332932922</v>
      </c>
      <c r="O119" s="33">
        <f t="shared" si="1"/>
        <v>21.982942188058953</v>
      </c>
      <c r="P119" s="33" t="str">
        <f t="shared" si="21"/>
        <v>True</v>
      </c>
      <c r="Q119" s="33">
        <f t="shared" si="3"/>
        <v>21.982942188058953</v>
      </c>
      <c r="R119" s="33">
        <f t="shared" si="14"/>
        <v>80.930050644782938</v>
      </c>
      <c r="S119" s="33">
        <f t="shared" si="4"/>
        <v>0.39792135332932921</v>
      </c>
      <c r="T119" s="33">
        <f t="shared" si="5"/>
        <v>1.8281384477815732</v>
      </c>
      <c r="U119" s="33">
        <f t="shared" si="6"/>
        <v>148.04172122380788</v>
      </c>
      <c r="V119" s="67">
        <f t="shared" si="7"/>
        <v>48.786851118193823</v>
      </c>
      <c r="W119" s="33" t="str">
        <f t="shared" si="8"/>
        <v>False</v>
      </c>
      <c r="X119" s="70">
        <f t="shared" si="24"/>
        <v>4.2777407251291897E-3</v>
      </c>
      <c r="Y119" s="71" t="str">
        <f t="shared" si="25"/>
        <v>False</v>
      </c>
      <c r="Z119">
        <f t="shared" si="26"/>
        <v>6.8646298831912818</v>
      </c>
      <c r="AA119">
        <f t="shared" si="27"/>
        <v>0.54667056000000003</v>
      </c>
      <c r="AB119" s="78">
        <f t="shared" si="28"/>
        <v>11.671210436400305</v>
      </c>
      <c r="AC119" s="78" t="str">
        <f t="shared" si="29"/>
        <v>False</v>
      </c>
    </row>
    <row r="120" spans="1:29" ht="12.75" customHeight="1" x14ac:dyDescent="0.15">
      <c r="A120" s="2"/>
      <c r="B120" s="68"/>
      <c r="C120" s="68"/>
      <c r="D120" s="68"/>
      <c r="E120" s="68"/>
      <c r="F120" s="68"/>
      <c r="G120" s="68"/>
      <c r="H120" s="68"/>
      <c r="I120" s="68"/>
      <c r="J120" s="68">
        <f t="shared" si="22"/>
        <v>75</v>
      </c>
      <c r="K120" s="33">
        <f t="shared" si="11"/>
        <v>30.748644073979108</v>
      </c>
      <c r="L120" s="33">
        <f t="shared" si="12"/>
        <v>1097.5100805772349</v>
      </c>
      <c r="M120" s="33">
        <f t="shared" si="23"/>
        <v>1010.4303011176562</v>
      </c>
      <c r="N120" s="33">
        <f t="shared" si="0"/>
        <v>40.161612384711134</v>
      </c>
      <c r="O120" s="33">
        <f t="shared" si="1"/>
        <v>22.063350507216775</v>
      </c>
      <c r="P120" s="33" t="str">
        <f t="shared" si="21"/>
        <v>True</v>
      </c>
      <c r="Q120" s="33">
        <f t="shared" si="3"/>
        <v>22.063350507216775</v>
      </c>
      <c r="R120" s="33">
        <f t="shared" si="14"/>
        <v>82.439927810700041</v>
      </c>
      <c r="S120" s="33">
        <f t="shared" si="4"/>
        <v>0.40161612384711137</v>
      </c>
      <c r="T120" s="33">
        <f t="shared" si="5"/>
        <v>1.845113038320064</v>
      </c>
      <c r="U120" s="33">
        <f t="shared" si="6"/>
        <v>150.80367197878746</v>
      </c>
      <c r="V120" s="67">
        <f t="shared" si="7"/>
        <v>49.088397202549153</v>
      </c>
      <c r="W120" s="33" t="str">
        <f t="shared" si="8"/>
        <v>False</v>
      </c>
      <c r="X120" s="70">
        <f t="shared" si="24"/>
        <v>4.2276164301273183E-3</v>
      </c>
      <c r="Y120" s="71" t="str">
        <f t="shared" si="25"/>
        <v>False</v>
      </c>
      <c r="Z120">
        <f t="shared" si="26"/>
        <v>6.9283691922172812</v>
      </c>
      <c r="AA120">
        <f t="shared" si="27"/>
        <v>0.54667055999999992</v>
      </c>
      <c r="AB120" s="78">
        <f t="shared" si="28"/>
        <v>11.779579700493437</v>
      </c>
      <c r="AC120" s="78" t="str">
        <f t="shared" si="29"/>
        <v>False</v>
      </c>
    </row>
    <row r="121" spans="1:29" ht="12.75" customHeight="1" x14ac:dyDescent="0.15">
      <c r="A121" s="1"/>
      <c r="J121" s="33">
        <f t="shared" si="22"/>
        <v>76</v>
      </c>
      <c r="K121" s="33">
        <f t="shared" si="11"/>
        <v>31.062846763719453</v>
      </c>
      <c r="L121" s="33">
        <f t="shared" si="12"/>
        <v>1123.9330756920758</v>
      </c>
      <c r="M121" s="33">
        <f t="shared" si="23"/>
        <v>1035.2805785286318</v>
      </c>
      <c r="N121" s="33">
        <f t="shared" si="0"/>
        <v>40.529199855539218</v>
      </c>
      <c r="O121" s="33">
        <f t="shared" si="1"/>
        <v>22.142616858120316</v>
      </c>
      <c r="P121" s="33" t="str">
        <f t="shared" si="21"/>
        <v>True</v>
      </c>
      <c r="Q121" s="33">
        <f t="shared" si="3"/>
        <v>22.142616858120316</v>
      </c>
      <c r="R121" s="33">
        <f t="shared" si="14"/>
        <v>83.955930980878946</v>
      </c>
      <c r="S121" s="33">
        <f t="shared" si="4"/>
        <v>0.40529199855539216</v>
      </c>
      <c r="T121" s="33">
        <f t="shared" si="5"/>
        <v>1.8620008173427551</v>
      </c>
      <c r="U121" s="33">
        <f t="shared" si="6"/>
        <v>153.57682875931522</v>
      </c>
      <c r="V121" s="67">
        <f t="shared" si="7"/>
        <v>49.387484946556349</v>
      </c>
      <c r="W121" s="33" t="str">
        <f t="shared" si="8"/>
        <v>False</v>
      </c>
      <c r="X121" s="70">
        <f t="shared" si="24"/>
        <v>4.1786884683263047E-3</v>
      </c>
      <c r="Y121" s="71" t="str">
        <f t="shared" si="25"/>
        <v>False</v>
      </c>
      <c r="Z121">
        <f t="shared" si="26"/>
        <v>6.9917825254254824</v>
      </c>
      <c r="AA121">
        <f t="shared" si="27"/>
        <v>0.54667055999999992</v>
      </c>
      <c r="AB121" s="78">
        <f t="shared" si="28"/>
        <v>11.887394742082019</v>
      </c>
      <c r="AC121" s="78" t="str">
        <f t="shared" si="29"/>
        <v>False</v>
      </c>
    </row>
    <row r="122" spans="1:29" ht="12.75" customHeight="1" x14ac:dyDescent="0.15">
      <c r="A122" s="1"/>
      <c r="J122" s="33">
        <f t="shared" si="22"/>
        <v>77</v>
      </c>
      <c r="K122" s="33">
        <f t="shared" si="11"/>
        <v>31.375729541872847</v>
      </c>
      <c r="L122" s="33">
        <f t="shared" si="12"/>
        <v>1150.6122390513838</v>
      </c>
      <c r="M122" s="33">
        <f t="shared" si="23"/>
        <v>1060.3811621621301</v>
      </c>
      <c r="N122" s="33">
        <f t="shared" si="0"/>
        <v>40.894933484828655</v>
      </c>
      <c r="O122" s="33">
        <f t="shared" si="1"/>
        <v>22.220773145284642</v>
      </c>
      <c r="P122" s="33" t="str">
        <f t="shared" si="21"/>
        <v>True</v>
      </c>
      <c r="Q122" s="33">
        <f t="shared" si="3"/>
        <v>22.220773145284642</v>
      </c>
      <c r="R122" s="33">
        <f t="shared" si="14"/>
        <v>85.477996552793087</v>
      </c>
      <c r="S122" s="33">
        <f t="shared" si="4"/>
        <v>0.40894933484828655</v>
      </c>
      <c r="T122" s="33">
        <f t="shared" si="5"/>
        <v>1.8788034267970248</v>
      </c>
      <c r="U122" s="33">
        <f t="shared" si="6"/>
        <v>156.36107522013458</v>
      </c>
      <c r="V122" s="67">
        <f t="shared" si="7"/>
        <v>49.684168340824087</v>
      </c>
      <c r="W122" s="33" t="str">
        <f t="shared" si="8"/>
        <v>False</v>
      </c>
      <c r="X122" s="70">
        <f t="shared" si="24"/>
        <v>4.1309141126287261E-3</v>
      </c>
      <c r="Y122" s="71" t="str">
        <f t="shared" si="25"/>
        <v>False</v>
      </c>
      <c r="Z122">
        <f t="shared" si="26"/>
        <v>7.0548760483013568</v>
      </c>
      <c r="AA122">
        <f t="shared" si="27"/>
        <v>0.54667055999999992</v>
      </c>
      <c r="AB122" s="78">
        <f t="shared" si="28"/>
        <v>11.994666043694544</v>
      </c>
      <c r="AC122" s="78" t="str">
        <f t="shared" si="29"/>
        <v>False</v>
      </c>
    </row>
    <row r="123" spans="1:29" ht="12.75" customHeight="1" x14ac:dyDescent="0.15">
      <c r="A123" s="1"/>
      <c r="J123" s="33">
        <f t="shared" si="22"/>
        <v>78</v>
      </c>
      <c r="K123" s="33">
        <f t="shared" si="11"/>
        <v>31.687316136109008</v>
      </c>
      <c r="L123" s="33">
        <f t="shared" si="12"/>
        <v>1177.5464748510321</v>
      </c>
      <c r="M123" s="33">
        <f t="shared" si="23"/>
        <v>1085.7310150710173</v>
      </c>
      <c r="N123" s="33">
        <f t="shared" si="0"/>
        <v>41.258847858206693</v>
      </c>
      <c r="O123" s="33">
        <f t="shared" si="1"/>
        <v>22.297849956722573</v>
      </c>
      <c r="P123" s="33" t="str">
        <f t="shared" si="21"/>
        <v>True</v>
      </c>
      <c r="Q123" s="33">
        <f t="shared" si="3"/>
        <v>22.297849956722573</v>
      </c>
      <c r="R123" s="33">
        <f t="shared" si="14"/>
        <v>87.006062469984172</v>
      </c>
      <c r="S123" s="33">
        <f t="shared" si="4"/>
        <v>0.41258847858206693</v>
      </c>
      <c r="T123" s="33">
        <f t="shared" si="5"/>
        <v>1.8955224556228571</v>
      </c>
      <c r="U123" s="33">
        <f t="shared" si="6"/>
        <v>159.1562978441425</v>
      </c>
      <c r="V123" s="67">
        <f t="shared" si="7"/>
        <v>49.97849946742037</v>
      </c>
      <c r="W123" s="33" t="str">
        <f t="shared" si="8"/>
        <v>False</v>
      </c>
      <c r="X123" s="70">
        <f t="shared" si="24"/>
        <v>4.0842526496790814E-3</v>
      </c>
      <c r="Y123" s="71" t="str">
        <f t="shared" si="25"/>
        <v>False</v>
      </c>
      <c r="Z123">
        <f t="shared" si="26"/>
        <v>7.1176557272884793</v>
      </c>
      <c r="AA123">
        <f t="shared" si="27"/>
        <v>0.54667056000000003</v>
      </c>
      <c r="AB123" s="78">
        <f t="shared" si="28"/>
        <v>12.101403749449446</v>
      </c>
      <c r="AC123" s="78" t="str">
        <f t="shared" si="29"/>
        <v>False</v>
      </c>
    </row>
    <row r="124" spans="1:29" ht="12.75" customHeight="1" x14ac:dyDescent="0.15">
      <c r="A124" s="1"/>
      <c r="J124" s="33">
        <f t="shared" si="22"/>
        <v>79</v>
      </c>
      <c r="K124" s="33">
        <f t="shared" si="11"/>
        <v>31.997629530970833</v>
      </c>
      <c r="L124" s="33">
        <f t="shared" si="12"/>
        <v>1204.7347070719725</v>
      </c>
      <c r="M124" s="33">
        <f t="shared" si="23"/>
        <v>1111.329118695794</v>
      </c>
      <c r="N124" s="33">
        <f t="shared" si="0"/>
        <v>41.620976459738195</v>
      </c>
      <c r="O124" s="33">
        <f t="shared" si="1"/>
        <v>22.373876635309351</v>
      </c>
      <c r="P124" s="33" t="str">
        <f t="shared" si="21"/>
        <v>True</v>
      </c>
      <c r="Q124" s="33">
        <f t="shared" si="3"/>
        <v>22.373876635309351</v>
      </c>
      <c r="R124" s="33">
        <f t="shared" si="14"/>
        <v>88.540068163617491</v>
      </c>
      <c r="S124" s="33">
        <f t="shared" si="4"/>
        <v>0.41620976459738196</v>
      </c>
      <c r="T124" s="33">
        <f t="shared" si="5"/>
        <v>1.9121594421520323</v>
      </c>
      <c r="U124" s="33">
        <f t="shared" si="6"/>
        <v>161.96238583547921</v>
      </c>
      <c r="V124" s="67">
        <f t="shared" si="7"/>
        <v>50.270528592148608</v>
      </c>
      <c r="W124" s="33" t="str">
        <f t="shared" si="8"/>
        <v>False</v>
      </c>
      <c r="X124" s="70">
        <f t="shared" si="24"/>
        <v>4.0386652629825414E-3</v>
      </c>
      <c r="Y124" s="71" t="str">
        <f t="shared" si="25"/>
        <v>False</v>
      </c>
      <c r="Z124">
        <f t="shared" si="26"/>
        <v>7.180127338797452</v>
      </c>
      <c r="AA124">
        <f t="shared" si="27"/>
        <v>0.54667056000000003</v>
      </c>
      <c r="AB124" s="78">
        <f t="shared" si="28"/>
        <v>12.207617680372012</v>
      </c>
      <c r="AC124" s="78" t="str">
        <f t="shared" si="29"/>
        <v>False</v>
      </c>
    </row>
    <row r="125" spans="1:29" ht="12.75" customHeight="1" x14ac:dyDescent="0.15">
      <c r="A125" s="2"/>
      <c r="B125" s="68"/>
      <c r="C125" s="68"/>
      <c r="D125" s="68"/>
      <c r="E125" s="68"/>
      <c r="F125" s="68"/>
      <c r="G125" s="68"/>
      <c r="H125" s="68"/>
      <c r="I125" s="68"/>
      <c r="J125" s="68">
        <f t="shared" si="22"/>
        <v>80</v>
      </c>
      <c r="K125" s="33">
        <f t="shared" si="11"/>
        <v>32.306692000771505</v>
      </c>
      <c r="L125" s="33">
        <f t="shared" si="12"/>
        <v>1232.175878860183</v>
      </c>
      <c r="M125" s="33">
        <f t="shared" si="23"/>
        <v>1137.1744722964113</v>
      </c>
      <c r="N125" s="33">
        <f t="shared" si="0"/>
        <v>41.981351721125634</v>
      </c>
      <c r="O125" s="33">
        <f t="shared" si="1"/>
        <v>22.448881345380901</v>
      </c>
      <c r="P125" s="33" t="str">
        <f t="shared" si="21"/>
        <v>True</v>
      </c>
      <c r="Q125" s="33">
        <f t="shared" si="3"/>
        <v>22.448881345380901</v>
      </c>
      <c r="R125" s="33">
        <f t="shared" si="14"/>
        <v>90.079954497012736</v>
      </c>
      <c r="S125" s="33">
        <f t="shared" si="4"/>
        <v>0.41981351721125632</v>
      </c>
      <c r="T125" s="33">
        <f t="shared" si="5"/>
        <v>1.9287158763684802</v>
      </c>
      <c r="U125" s="33">
        <f t="shared" si="6"/>
        <v>164.77923101806095</v>
      </c>
      <c r="V125" s="67">
        <f t="shared" si="7"/>
        <v>50.560304251196698</v>
      </c>
      <c r="W125" s="33" t="str">
        <f t="shared" si="8"/>
        <v>False</v>
      </c>
      <c r="X125" s="70">
        <f t="shared" si="24"/>
        <v>3.9941149240087072E-3</v>
      </c>
      <c r="Y125" s="71" t="str">
        <f t="shared" si="25"/>
        <v>False</v>
      </c>
      <c r="Z125">
        <f t="shared" si="26"/>
        <v>7.2422964776934906</v>
      </c>
      <c r="AA125">
        <f t="shared" si="27"/>
        <v>0.54667055999999992</v>
      </c>
      <c r="AB125" s="78">
        <f t="shared" si="28"/>
        <v>12.313317348824953</v>
      </c>
      <c r="AC125" s="78" t="str">
        <f t="shared" si="29"/>
        <v>False</v>
      </c>
    </row>
    <row r="126" spans="1:29" ht="12.75" customHeight="1" x14ac:dyDescent="0.15">
      <c r="A126" s="1"/>
      <c r="J126" s="33">
        <f t="shared" si="22"/>
        <v>81</v>
      </c>
      <c r="K126" s="33">
        <f t="shared" si="11"/>
        <v>32.61452514062168</v>
      </c>
      <c r="L126" s="33">
        <f t="shared" si="12"/>
        <v>1259.8689519340458</v>
      </c>
      <c r="M126" s="33">
        <f t="shared" si="23"/>
        <v>1163.2660924089087</v>
      </c>
      <c r="N126" s="33">
        <f t="shared" si="0"/>
        <v>42.340005068098385</v>
      </c>
      <c r="O126" s="33">
        <f t="shared" si="1"/>
        <v>22.522891134942078</v>
      </c>
      <c r="P126" s="33" t="str">
        <f t="shared" si="21"/>
        <v>True</v>
      </c>
      <c r="Q126" s="33">
        <f t="shared" si="3"/>
        <v>22.522891134942078</v>
      </c>
      <c r="R126" s="33">
        <f t="shared" si="14"/>
        <v>91.625663712959422</v>
      </c>
      <c r="S126" s="33">
        <f t="shared" si="4"/>
        <v>0.42340005068098385</v>
      </c>
      <c r="T126" s="33">
        <f t="shared" si="5"/>
        <v>1.9451932020395106</v>
      </c>
      <c r="U126" s="33">
        <f t="shared" si="6"/>
        <v>167.60672773920629</v>
      </c>
      <c r="V126" s="67">
        <f t="shared" si="7"/>
        <v>50.847873332570508</v>
      </c>
      <c r="W126" s="33" t="str">
        <f t="shared" si="8"/>
        <v>False</v>
      </c>
      <c r="X126" s="70">
        <f t="shared" si="24"/>
        <v>3.9505662906741167E-3</v>
      </c>
      <c r="Y126" s="71" t="str">
        <f t="shared" si="25"/>
        <v>False</v>
      </c>
      <c r="Z126">
        <f t="shared" si="26"/>
        <v>7.3041685652991575</v>
      </c>
      <c r="AA126">
        <f t="shared" si="27"/>
        <v>0.54667055999999992</v>
      </c>
      <c r="AB126" s="78">
        <f t="shared" si="28"/>
        <v>12.418511972114592</v>
      </c>
      <c r="AC126" s="78" t="str">
        <f t="shared" si="29"/>
        <v>False</v>
      </c>
    </row>
    <row r="127" spans="1:29" ht="12.75" customHeight="1" x14ac:dyDescent="0.15">
      <c r="A127" s="1"/>
      <c r="J127" s="33">
        <f t="shared" si="22"/>
        <v>82</v>
      </c>
      <c r="K127" s="33">
        <f t="shared" si="11"/>
        <v>32.921149895715303</v>
      </c>
      <c r="L127" s="33">
        <f t="shared" si="12"/>
        <v>1287.8129060175834</v>
      </c>
      <c r="M127" s="33">
        <f t="shared" si="23"/>
        <v>1189.6030123254809</v>
      </c>
      <c r="N127" s="33">
        <f t="shared" si="0"/>
        <v>42.696966964186764</v>
      </c>
      <c r="O127" s="33">
        <f t="shared" si="1"/>
        <v>22.595931993827691</v>
      </c>
      <c r="P127" s="33" t="str">
        <f t="shared" si="21"/>
        <v>True</v>
      </c>
      <c r="Q127" s="33">
        <f t="shared" si="3"/>
        <v>22.595931993827691</v>
      </c>
      <c r="R127" s="33">
        <f t="shared" si="14"/>
        <v>93.177139383643762</v>
      </c>
      <c r="S127" s="33">
        <f t="shared" si="4"/>
        <v>0.42696966964186767</v>
      </c>
      <c r="T127" s="33">
        <f t="shared" si="5"/>
        <v>1.9615928187268834</v>
      </c>
      <c r="U127" s="33">
        <f t="shared" si="6"/>
        <v>170.44477277803981</v>
      </c>
      <c r="V127" s="67">
        <f t="shared" si="7"/>
        <v>51.133281152690103</v>
      </c>
      <c r="W127" s="33" t="str">
        <f t="shared" si="8"/>
        <v>False</v>
      </c>
      <c r="X127" s="70">
        <f t="shared" si="24"/>
        <v>3.9079856126165357E-3</v>
      </c>
      <c r="Y127" s="71" t="str">
        <f t="shared" si="25"/>
        <v>False</v>
      </c>
      <c r="Z127">
        <f t="shared" si="26"/>
        <v>7.3657488569459053</v>
      </c>
      <c r="AA127">
        <f t="shared" si="27"/>
        <v>0.54667055999999992</v>
      </c>
      <c r="AB127" s="78">
        <f t="shared" si="28"/>
        <v>12.523210485329992</v>
      </c>
      <c r="AC127" s="78" t="str">
        <f t="shared" si="29"/>
        <v>False</v>
      </c>
    </row>
    <row r="128" spans="1:29" ht="12.75" customHeight="1" x14ac:dyDescent="0.15">
      <c r="A128" s="1"/>
      <c r="J128" s="33">
        <f t="shared" si="22"/>
        <v>83</v>
      </c>
      <c r="K128" s="33">
        <f t="shared" si="11"/>
        <v>33.226586588993584</v>
      </c>
      <c r="L128" s="33">
        <f t="shared" si="12"/>
        <v>1316.0067382981183</v>
      </c>
      <c r="M128" s="33">
        <f t="shared" si="23"/>
        <v>1216.1842815966759</v>
      </c>
      <c r="N128" s="33">
        <f t="shared" si="0"/>
        <v>43.052266952058694</v>
      </c>
      <c r="O128" s="33">
        <f t="shared" si="1"/>
        <v>22.66802890812767</v>
      </c>
      <c r="P128" s="33" t="str">
        <f t="shared" si="21"/>
        <v>True</v>
      </c>
      <c r="Q128" s="33">
        <f t="shared" si="3"/>
        <v>22.66802890812767</v>
      </c>
      <c r="R128" s="33">
        <f t="shared" si="14"/>
        <v>94.734326363023285</v>
      </c>
      <c r="S128" s="33">
        <f t="shared" si="4"/>
        <v>0.43052266952058693</v>
      </c>
      <c r="T128" s="33">
        <f t="shared" si="5"/>
        <v>1.9779160836859122</v>
      </c>
      <c r="U128" s="33">
        <f t="shared" si="6"/>
        <v>173.29326525837297</v>
      </c>
      <c r="V128" s="67">
        <f t="shared" si="7"/>
        <v>51.416571528492959</v>
      </c>
      <c r="W128" s="33" t="str">
        <f t="shared" si="8"/>
        <v>False</v>
      </c>
      <c r="X128" s="70">
        <f t="shared" si="24"/>
        <v>3.8663406427532883E-3</v>
      </c>
      <c r="Y128" s="71" t="str">
        <f t="shared" si="25"/>
        <v>False</v>
      </c>
      <c r="Z128">
        <f t="shared" si="26"/>
        <v>7.4270424491051719</v>
      </c>
      <c r="AA128">
        <f t="shared" si="27"/>
        <v>0.54667055999999992</v>
      </c>
      <c r="AB128" s="78">
        <f t="shared" si="28"/>
        <v>12.627421553467158</v>
      </c>
      <c r="AC128" s="78" t="str">
        <f t="shared" si="29"/>
        <v>False</v>
      </c>
    </row>
    <row r="129" spans="1:29" ht="12.75" customHeight="1" x14ac:dyDescent="0.15">
      <c r="A129" s="1"/>
      <c r="J129" s="33">
        <f t="shared" si="22"/>
        <v>84</v>
      </c>
      <c r="K129" s="33">
        <f t="shared" si="11"/>
        <v>33.53085494729541</v>
      </c>
      <c r="L129" s="33">
        <f t="shared" si="12"/>
        <v>1344.4494629069945</v>
      </c>
      <c r="M129" s="33">
        <f t="shared" si="23"/>
        <v>1243.0089655545121</v>
      </c>
      <c r="N129" s="33">
        <f t="shared" si="0"/>
        <v>43.40593369258432</v>
      </c>
      <c r="O129" s="33">
        <f t="shared" si="1"/>
        <v>22.73920591116077</v>
      </c>
      <c r="P129" s="33" t="str">
        <f t="shared" si="21"/>
        <v>True</v>
      </c>
      <c r="Q129" s="33">
        <f t="shared" si="3"/>
        <v>22.73920591116077</v>
      </c>
      <c r="R129" s="33">
        <f t="shared" si="14"/>
        <v>96.297170741501375</v>
      </c>
      <c r="S129" s="33">
        <f t="shared" si="4"/>
        <v>0.4340593369258432</v>
      </c>
      <c r="T129" s="33">
        <f t="shared" si="5"/>
        <v>1.9941643136601754</v>
      </c>
      <c r="U129" s="33">
        <f t="shared" si="6"/>
        <v>176.15210656579237</v>
      </c>
      <c r="V129" s="67">
        <f t="shared" si="7"/>
        <v>51.697786845361961</v>
      </c>
      <c r="W129" s="33" t="str">
        <f t="shared" si="8"/>
        <v>False</v>
      </c>
      <c r="X129" s="70">
        <f t="shared" si="24"/>
        <v>3.8256005546390332E-3</v>
      </c>
      <c r="Y129" s="71" t="str">
        <f t="shared" si="25"/>
        <v>False</v>
      </c>
      <c r="Z129">
        <f t="shared" si="26"/>
        <v>7.4880542861274941</v>
      </c>
      <c r="AA129">
        <f t="shared" si="27"/>
        <v>0.54667055999999992</v>
      </c>
      <c r="AB129" s="78">
        <f t="shared" si="28"/>
        <v>12.731153582886908</v>
      </c>
      <c r="AC129" s="78" t="str">
        <f t="shared" si="29"/>
        <v>False</v>
      </c>
    </row>
    <row r="130" spans="1:29" ht="12.75" customHeight="1" x14ac:dyDescent="0.15">
      <c r="A130" s="2"/>
      <c r="B130" s="68"/>
      <c r="C130" s="68"/>
      <c r="D130" s="68"/>
      <c r="E130" s="68"/>
      <c r="F130" s="68"/>
      <c r="G130" s="68"/>
      <c r="H130" s="68"/>
      <c r="I130" s="68"/>
      <c r="J130" s="68">
        <f t="shared" si="22"/>
        <v>85</v>
      </c>
      <c r="K130" s="33">
        <f t="shared" si="11"/>
        <v>33.833974126095761</v>
      </c>
      <c r="L130" s="33">
        <f t="shared" si="12"/>
        <v>1373.140110422109</v>
      </c>
      <c r="M130" s="33">
        <f t="shared" si="23"/>
        <v>1270.0761448553887</v>
      </c>
      <c r="N130" s="33">
        <f t="shared" si="0"/>
        <v>43.757995001779648</v>
      </c>
      <c r="O130" s="33">
        <f t="shared" si="1"/>
        <v>22.80948613125576</v>
      </c>
      <c r="P130" s="33" t="str">
        <f t="shared" si="21"/>
        <v>True</v>
      </c>
      <c r="Q130" s="33">
        <f t="shared" si="3"/>
        <v>22.80948613125576</v>
      </c>
      <c r="R130" s="33">
        <f t="shared" si="14"/>
        <v>97.865619802761728</v>
      </c>
      <c r="S130" s="33">
        <f t="shared" si="4"/>
        <v>0.43757995001779648</v>
      </c>
      <c r="T130" s="33">
        <f t="shared" si="5"/>
        <v>2.0103387865787878</v>
      </c>
      <c r="U130" s="33">
        <f t="shared" si="6"/>
        <v>179.02120026869883</v>
      </c>
      <c r="V130" s="67">
        <f t="shared" si="7"/>
        <v>51.976968121168319</v>
      </c>
      <c r="W130" s="33" t="str">
        <f t="shared" si="8"/>
        <v>False</v>
      </c>
      <c r="X130" s="70">
        <f t="shared" si="24"/>
        <v>3.7857358651918779E-3</v>
      </c>
      <c r="Y130" s="71" t="str">
        <f t="shared" si="25"/>
        <v>False</v>
      </c>
      <c r="Z130">
        <f t="shared" si="26"/>
        <v>7.5487891666157374</v>
      </c>
      <c r="AA130">
        <f t="shared" si="27"/>
        <v>0.54667055999999992</v>
      </c>
      <c r="AB130" s="78">
        <f t="shared" si="28"/>
        <v>12.834414732150556</v>
      </c>
      <c r="AC130" s="78" t="str">
        <f t="shared" si="29"/>
        <v>False</v>
      </c>
    </row>
    <row r="131" spans="1:29" ht="12.75" customHeight="1" x14ac:dyDescent="0.15">
      <c r="A131" s="1"/>
      <c r="J131" s="33">
        <f t="shared" si="22"/>
        <v>86</v>
      </c>
      <c r="K131" s="33">
        <f t="shared" si="11"/>
        <v>34.13596273292427</v>
      </c>
      <c r="L131" s="33">
        <f t="shared" si="12"/>
        <v>1402.0777273910749</v>
      </c>
      <c r="M131" s="33">
        <f t="shared" si="23"/>
        <v>1297.3849150417282</v>
      </c>
      <c r="N131" s="33">
        <f t="shared" si="0"/>
        <v>44.108477885768792</v>
      </c>
      <c r="O131" s="33">
        <f t="shared" si="1"/>
        <v>22.878891836576997</v>
      </c>
      <c r="P131" s="33" t="str">
        <f t="shared" si="21"/>
        <v>True</v>
      </c>
      <c r="Q131" s="33">
        <f t="shared" si="3"/>
        <v>22.878891836576997</v>
      </c>
      <c r="R131" s="33">
        <f t="shared" si="14"/>
        <v>99.439621982633696</v>
      </c>
      <c r="S131" s="33">
        <f t="shared" si="4"/>
        <v>0.44108477885768793</v>
      </c>
      <c r="T131" s="33">
        <f t="shared" si="5"/>
        <v>2.026440743162647</v>
      </c>
      <c r="U131" s="33">
        <f t="shared" si="6"/>
        <v>181.90045204306176</v>
      </c>
      <c r="V131" s="67">
        <f t="shared" si="7"/>
        <v>52.25415506669669</v>
      </c>
      <c r="W131" s="33" t="str">
        <f t="shared" si="8"/>
        <v>False</v>
      </c>
      <c r="X131" s="70">
        <f t="shared" si="24"/>
        <v>3.746718362389117E-3</v>
      </c>
      <c r="Y131" s="71" t="str">
        <f t="shared" si="25"/>
        <v>False</v>
      </c>
      <c r="Z131">
        <f t="shared" si="26"/>
        <v>7.6092517494565168</v>
      </c>
      <c r="AA131">
        <f t="shared" si="27"/>
        <v>0.54667055999999992</v>
      </c>
      <c r="AB131" s="78">
        <f t="shared" si="28"/>
        <v>12.937212922274529</v>
      </c>
      <c r="AC131" s="78" t="str">
        <f t="shared" si="29"/>
        <v>False</v>
      </c>
    </row>
    <row r="132" spans="1:29" ht="12.75" customHeight="1" x14ac:dyDescent="0.15">
      <c r="A132" s="1"/>
      <c r="J132" s="33">
        <f t="shared" si="22"/>
        <v>87</v>
      </c>
      <c r="K132" s="33">
        <f t="shared" si="11"/>
        <v>34.436838849549694</v>
      </c>
      <c r="L132" s="33">
        <f t="shared" si="12"/>
        <v>1431.2613758739117</v>
      </c>
      <c r="M132" s="33">
        <f t="shared" si="23"/>
        <v>1324.9343861213679</v>
      </c>
      <c r="N132" s="33">
        <f t="shared" si="0"/>
        <v>44.457408573894092</v>
      </c>
      <c r="O132" s="33">
        <f t="shared" si="1"/>
        <v>22.947444477210983</v>
      </c>
      <c r="P132" s="33" t="str">
        <f t="shared" si="21"/>
        <v>True</v>
      </c>
      <c r="Q132" s="33">
        <f t="shared" si="3"/>
        <v>22.947444477210983</v>
      </c>
      <c r="R132" s="33">
        <f t="shared" si="14"/>
        <v>101.01912682987</v>
      </c>
      <c r="S132" s="33">
        <f t="shared" si="4"/>
        <v>0.44457408573894092</v>
      </c>
      <c r="T132" s="33">
        <f t="shared" si="5"/>
        <v>2.042471388445581</v>
      </c>
      <c r="U132" s="33">
        <f t="shared" si="6"/>
        <v>184.78976960067141</v>
      </c>
      <c r="V132" s="67">
        <f t="shared" si="7"/>
        <v>52.529386142698577</v>
      </c>
      <c r="W132" s="33" t="str">
        <f t="shared" si="8"/>
        <v>False</v>
      </c>
      <c r="X132" s="70">
        <f t="shared" si="24"/>
        <v>3.7085210375588655E-3</v>
      </c>
      <c r="Y132" s="71" t="str">
        <f t="shared" si="25"/>
        <v>False</v>
      </c>
      <c r="Z132">
        <f t="shared" si="26"/>
        <v>7.6694465595320906</v>
      </c>
      <c r="AA132">
        <f t="shared" si="27"/>
        <v>0.54667055999999992</v>
      </c>
      <c r="AB132" s="78">
        <f t="shared" si="28"/>
        <v>13.039555846441706</v>
      </c>
      <c r="AC132" s="78" t="str">
        <f t="shared" si="29"/>
        <v>False</v>
      </c>
    </row>
    <row r="133" spans="1:29" ht="12.75" customHeight="1" x14ac:dyDescent="0.15">
      <c r="A133" s="1"/>
      <c r="J133" s="33">
        <f t="shared" si="22"/>
        <v>88</v>
      </c>
      <c r="K133" s="33">
        <f t="shared" si="11"/>
        <v>34.736620053009638</v>
      </c>
      <c r="L133" s="33">
        <f t="shared" si="12"/>
        <v>1460.6901330042474</v>
      </c>
      <c r="M133" s="33">
        <f t="shared" si="23"/>
        <v>1352.7236821637755</v>
      </c>
      <c r="N133" s="33">
        <f t="shared" si="0"/>
        <v>44.804812550093018</v>
      </c>
      <c r="O133" s="33">
        <f t="shared" si="1"/>
        <v>23.015164724712065</v>
      </c>
      <c r="P133" s="33" t="str">
        <f t="shared" si="21"/>
        <v>True</v>
      </c>
      <c r="Q133" s="33">
        <f t="shared" si="3"/>
        <v>23.015164724712065</v>
      </c>
      <c r="R133" s="33">
        <f t="shared" si="14"/>
        <v>102.60408496872527</v>
      </c>
      <c r="S133" s="33">
        <f t="shared" si="4"/>
        <v>0.44804812550093015</v>
      </c>
      <c r="T133" s="33">
        <f t="shared" si="5"/>
        <v>2.0584318932158743</v>
      </c>
      <c r="U133" s="33">
        <f t="shared" si="6"/>
        <v>187.68906262068563</v>
      </c>
      <c r="V133" s="67">
        <f t="shared" si="7"/>
        <v>52.802698613800082</v>
      </c>
      <c r="W133" s="33" t="str">
        <f t="shared" si="8"/>
        <v>False</v>
      </c>
      <c r="X133" s="70">
        <f t="shared" si="24"/>
        <v>3.6711180219432212E-3</v>
      </c>
      <c r="Y133" s="71" t="str">
        <f t="shared" si="25"/>
        <v>False</v>
      </c>
      <c r="Z133">
        <f t="shared" si="26"/>
        <v>7.729377993133264</v>
      </c>
      <c r="AA133">
        <f t="shared" si="27"/>
        <v>0.54667055999999992</v>
      </c>
      <c r="AB133" s="78">
        <f t="shared" si="28"/>
        <v>13.141450979204388</v>
      </c>
      <c r="AC133" s="78" t="str">
        <f t="shared" si="29"/>
        <v>False</v>
      </c>
    </row>
    <row r="134" spans="1:29" ht="12.75" customHeight="1" x14ac:dyDescent="0.15">
      <c r="A134" s="1"/>
      <c r="J134" s="33">
        <f t="shared" si="22"/>
        <v>89</v>
      </c>
      <c r="K134" s="33">
        <f t="shared" si="11"/>
        <v>35.035323435558432</v>
      </c>
      <c r="L134" s="33">
        <f t="shared" si="12"/>
        <v>1490.3630905680593</v>
      </c>
      <c r="M134" s="33">
        <f t="shared" si="23"/>
        <v>1380.7519409122222</v>
      </c>
      <c r="N134" s="33">
        <f t="shared" si="0"/>
        <v>45.150714582651688</v>
      </c>
      <c r="O134" s="33">
        <f t="shared" si="1"/>
        <v>23.082072509289144</v>
      </c>
      <c r="P134" s="33" t="str">
        <f t="shared" si="21"/>
        <v>True</v>
      </c>
      <c r="Q134" s="33">
        <f t="shared" si="3"/>
        <v>23.082072509289144</v>
      </c>
      <c r="R134" s="33">
        <f t="shared" si="14"/>
        <v>104.19444806323057</v>
      </c>
      <c r="S134" s="33">
        <f t="shared" si="4"/>
        <v>0.45150714582651691</v>
      </c>
      <c r="T134" s="33">
        <f t="shared" si="5"/>
        <v>2.0743233953832121</v>
      </c>
      <c r="U134" s="33">
        <f t="shared" si="6"/>
        <v>190.59824268427877</v>
      </c>
      <c r="V134" s="67">
        <f t="shared" si="7"/>
        <v>53.074128599472722</v>
      </c>
      <c r="W134" s="33" t="str">
        <f t="shared" si="8"/>
        <v>False</v>
      </c>
      <c r="X134" s="70">
        <f t="shared" si="24"/>
        <v>3.6344845272181367E-3</v>
      </c>
      <c r="Y134" s="71" t="str">
        <f t="shared" si="25"/>
        <v>False</v>
      </c>
      <c r="Z134">
        <f t="shared" si="26"/>
        <v>7.7890503230922379</v>
      </c>
      <c r="AA134">
        <f t="shared" si="27"/>
        <v>0.54667055999999992</v>
      </c>
      <c r="AB134" s="78">
        <f t="shared" si="28"/>
        <v>13.242905585211162</v>
      </c>
      <c r="AC134" s="78" t="str">
        <f t="shared" si="29"/>
        <v>False</v>
      </c>
    </row>
    <row r="135" spans="1:29" ht="12.75" customHeight="1" x14ac:dyDescent="0.15">
      <c r="A135" s="2"/>
      <c r="B135" s="68"/>
      <c r="C135" s="68"/>
      <c r="D135" s="68"/>
      <c r="E135" s="68"/>
      <c r="F135" s="68"/>
      <c r="G135" s="68"/>
      <c r="H135" s="68"/>
      <c r="I135" s="68"/>
      <c r="J135" s="68">
        <f t="shared" si="22"/>
        <v>90</v>
      </c>
      <c r="K135" s="33">
        <f t="shared" si="11"/>
        <v>35.332965623600799</v>
      </c>
      <c r="L135" s="33">
        <f t="shared" si="12"/>
        <v>1520.2793545990535</v>
      </c>
      <c r="M135" s="33">
        <f t="shared" si="23"/>
        <v>1409.0183134111028</v>
      </c>
      <c r="N135" s="33">
        <f t="shared" si="0"/>
        <v>45.495138752437377</v>
      </c>
      <c r="O135" s="33">
        <f t="shared" si="1"/>
        <v>23.148187054800044</v>
      </c>
      <c r="P135" s="33" t="str">
        <f t="shared" si="21"/>
        <v>True</v>
      </c>
      <c r="Q135" s="33">
        <f t="shared" si="3"/>
        <v>23.148187054800044</v>
      </c>
      <c r="R135" s="33">
        <f t="shared" si="14"/>
        <v>105.79016878306926</v>
      </c>
      <c r="S135" s="33">
        <f t="shared" si="4"/>
        <v>0.45495138752437375</v>
      </c>
      <c r="T135" s="33">
        <f t="shared" si="5"/>
        <v>2.0901470012757395</v>
      </c>
      <c r="U135" s="33">
        <f t="shared" si="6"/>
        <v>193.51722321221993</v>
      </c>
      <c r="V135" s="67">
        <f t="shared" si="7"/>
        <v>53.343711122259855</v>
      </c>
      <c r="W135" s="33" t="str">
        <f t="shared" si="8"/>
        <v>False</v>
      </c>
      <c r="X135" s="70">
        <f t="shared" si="24"/>
        <v>3.5985967896829674E-3</v>
      </c>
      <c r="Y135" s="71" t="str">
        <f t="shared" si="25"/>
        <v>False</v>
      </c>
      <c r="Z135">
        <f t="shared" ref="Z135:Z146" si="30">SQRT(U135/PI())</f>
        <v>7.8484677036530481</v>
      </c>
      <c r="AA135">
        <f t="shared" ref="AA135:AA146" si="31">IF(U135=0,0,R135/U135)</f>
        <v>0.54667055999999992</v>
      </c>
      <c r="AB135" s="78">
        <f t="shared" ref="AB135:AB146" si="32">(S135/2)*((3*$C$41*1000000/(8*AA135*9.81))^(1/3))*($H$43^(-1/6))</f>
        <v>13.343926727487592</v>
      </c>
      <c r="AC135" s="78" t="str">
        <f t="shared" ref="AC135:AC146" si="33">IF(Z135&gt;AB135,"True","False")</f>
        <v>False</v>
      </c>
    </row>
    <row r="136" spans="1:29" ht="12.75" customHeight="1" x14ac:dyDescent="0.15">
      <c r="A136" s="1"/>
      <c r="J136" s="33">
        <f t="shared" si="22"/>
        <v>91</v>
      </c>
      <c r="K136" s="33">
        <f t="shared" si="11"/>
        <v>35.629562795674303</v>
      </c>
      <c r="L136" s="33">
        <f t="shared" si="12"/>
        <v>1550.4380449898463</v>
      </c>
      <c r="M136" s="33">
        <f t="shared" si="23"/>
        <v>1437.5219636476422</v>
      </c>
      <c r="N136" s="33">
        <f t="shared" si="0"/>
        <v>45.83810847970426</v>
      </c>
      <c r="O136" s="33">
        <f t="shared" si="1"/>
        <v>23.213526911706872</v>
      </c>
      <c r="P136" s="33" t="str">
        <f t="shared" si="21"/>
        <v>True</v>
      </c>
      <c r="Q136" s="33">
        <f t="shared" si="3"/>
        <v>23.213526911706872</v>
      </c>
      <c r="R136" s="33">
        <f t="shared" si="14"/>
        <v>107.39120077096472</v>
      </c>
      <c r="S136" s="33">
        <f t="shared" si="4"/>
        <v>0.45838108479704259</v>
      </c>
      <c r="T136" s="33">
        <f t="shared" si="5"/>
        <v>2.1059037868715818</v>
      </c>
      <c r="U136" s="33">
        <f t="shared" si="6"/>
        <v>196.44591940521678</v>
      </c>
      <c r="V136" s="67">
        <f t="shared" si="7"/>
        <v>53.611480153436759</v>
      </c>
      <c r="W136" s="33" t="str">
        <f t="shared" si="8"/>
        <v>False</v>
      </c>
      <c r="X136" s="70">
        <f t="shared" si="24"/>
        <v>3.5634320178691298E-3</v>
      </c>
      <c r="Y136" s="71" t="str">
        <f t="shared" si="25"/>
        <v>False</v>
      </c>
      <c r="Z136">
        <f t="shared" si="30"/>
        <v>7.9076341750959038</v>
      </c>
      <c r="AA136">
        <f t="shared" si="31"/>
        <v>0.54667055999999992</v>
      </c>
      <c r="AB136" s="78">
        <f t="shared" si="32"/>
        <v>13.444521275298495</v>
      </c>
      <c r="AC136" s="78" t="str">
        <f t="shared" si="33"/>
        <v>False</v>
      </c>
    </row>
    <row r="137" spans="1:29" ht="12.75" customHeight="1" x14ac:dyDescent="0.15">
      <c r="A137" s="1"/>
      <c r="J137" s="33">
        <f t="shared" si="22"/>
        <v>92</v>
      </c>
      <c r="K137" s="33">
        <f t="shared" si="11"/>
        <v>35.925130699538947</v>
      </c>
      <c r="L137" s="33">
        <f t="shared" si="12"/>
        <v>1580.8382951181459</v>
      </c>
      <c r="M137" s="33">
        <f t="shared" si="23"/>
        <v>1466.2620682072734</v>
      </c>
      <c r="N137" s="33">
        <f t="shared" si="0"/>
        <v>46.179646549559685</v>
      </c>
      <c r="O137" s="33">
        <f t="shared" si="1"/>
        <v>23.278109988133036</v>
      </c>
      <c r="P137" s="33" t="str">
        <f t="shared" si="21"/>
        <v>True</v>
      </c>
      <c r="Q137" s="33">
        <f t="shared" si="3"/>
        <v>23.278109988133036</v>
      </c>
      <c r="R137" s="33">
        <f t="shared" si="14"/>
        <v>108.99749861149327</v>
      </c>
      <c r="S137" s="33">
        <f t="shared" si="4"/>
        <v>0.46179646549559683</v>
      </c>
      <c r="T137" s="33">
        <f t="shared" si="5"/>
        <v>2.1215947989688155</v>
      </c>
      <c r="U137" s="33">
        <f t="shared" si="6"/>
        <v>199.38424818686647</v>
      </c>
      <c r="V137" s="67">
        <f t="shared" si="7"/>
        <v>53.877468656268348</v>
      </c>
      <c r="W137" s="33" t="str">
        <f t="shared" si="8"/>
        <v>False</v>
      </c>
      <c r="X137" s="70">
        <f t="shared" si="24"/>
        <v>3.5289683433195823E-3</v>
      </c>
      <c r="Y137" s="71" t="str">
        <f t="shared" si="25"/>
        <v>False</v>
      </c>
      <c r="Z137">
        <f t="shared" si="30"/>
        <v>7.9665536681304134</v>
      </c>
      <c r="AA137">
        <f t="shared" si="31"/>
        <v>0.54667055999999992</v>
      </c>
      <c r="AB137" s="78">
        <f t="shared" si="32"/>
        <v>13.544695911617284</v>
      </c>
      <c r="AC137" s="78" t="str">
        <f t="shared" si="33"/>
        <v>False</v>
      </c>
    </row>
    <row r="138" spans="1:29" ht="12.75" customHeight="1" x14ac:dyDescent="0.15">
      <c r="A138" s="1"/>
      <c r="J138" s="33">
        <f t="shared" si="22"/>
        <v>93</v>
      </c>
      <c r="K138" s="33">
        <f t="shared" si="11"/>
        <v>36.219684668427028</v>
      </c>
      <c r="L138" s="33">
        <f t="shared" si="12"/>
        <v>1611.4792514871938</v>
      </c>
      <c r="M138" s="33">
        <f t="shared" si="23"/>
        <v>1495.237815942015</v>
      </c>
      <c r="N138" s="33">
        <f t="shared" si="0"/>
        <v>46.519775136172633</v>
      </c>
      <c r="O138" s="33">
        <f t="shared" si="1"/>
        <v>23.341953579151671</v>
      </c>
      <c r="P138" s="33" t="str">
        <f t="shared" si="21"/>
        <v>True</v>
      </c>
      <c r="Q138" s="33">
        <f t="shared" si="3"/>
        <v>23.341953579151671</v>
      </c>
      <c r="R138" s="33">
        <f t="shared" si="14"/>
        <v>110.6090178012478</v>
      </c>
      <c r="S138" s="33">
        <f t="shared" si="4"/>
        <v>0.46519775136172631</v>
      </c>
      <c r="T138" s="33">
        <f t="shared" si="5"/>
        <v>2.1372210562976632</v>
      </c>
      <c r="U138" s="33">
        <f t="shared" si="6"/>
        <v>202.33212814907722</v>
      </c>
      <c r="V138" s="67">
        <f t="shared" si="7"/>
        <v>54.141708627017053</v>
      </c>
      <c r="W138" s="33" t="str">
        <f t="shared" si="8"/>
        <v>False</v>
      </c>
      <c r="X138" s="70">
        <f t="shared" si="24"/>
        <v>3.49518477432023E-3</v>
      </c>
      <c r="Y138" s="71" t="str">
        <f t="shared" si="25"/>
        <v>False</v>
      </c>
      <c r="Z138">
        <f t="shared" si="30"/>
        <v>8.0252300080718513</v>
      </c>
      <c r="AA138">
        <f t="shared" si="31"/>
        <v>0.54667055999999992</v>
      </c>
      <c r="AB138" s="78">
        <f t="shared" si="32"/>
        <v>13.644457140226438</v>
      </c>
      <c r="AC138" s="78" t="str">
        <f t="shared" si="33"/>
        <v>False</v>
      </c>
    </row>
    <row r="139" spans="1:29" ht="12.75" customHeight="1" x14ac:dyDescent="0.15">
      <c r="A139" s="1"/>
      <c r="J139" s="33">
        <f t="shared" si="22"/>
        <v>94</v>
      </c>
      <c r="K139" s="33">
        <f t="shared" si="11"/>
        <v>36.513239636504522</v>
      </c>
      <c r="L139" s="33">
        <f t="shared" si="12"/>
        <v>1642.3600733797673</v>
      </c>
      <c r="M139" s="33">
        <f t="shared" si="23"/>
        <v>1524.4484076512185</v>
      </c>
      <c r="N139" s="33">
        <f t="shared" si="0"/>
        <v>46.858515825799557</v>
      </c>
      <c r="O139" s="33">
        <f t="shared" si="1"/>
        <v>23.405074394424876</v>
      </c>
      <c r="P139" s="33" t="str">
        <f t="shared" si="21"/>
        <v>True</v>
      </c>
      <c r="Q139" s="33">
        <f t="shared" si="3"/>
        <v>23.405074394424876</v>
      </c>
      <c r="R139" s="33">
        <f t="shared" si="14"/>
        <v>112.22571472027617</v>
      </c>
      <c r="S139" s="33">
        <f t="shared" si="4"/>
        <v>0.46858515825799557</v>
      </c>
      <c r="T139" s="33">
        <f t="shared" si="5"/>
        <v>2.1527835505783481</v>
      </c>
      <c r="U139" s="33">
        <f t="shared" si="6"/>
        <v>205.28947949982197</v>
      </c>
      <c r="V139" s="67">
        <f t="shared" si="7"/>
        <v>54.404231133841535</v>
      </c>
      <c r="W139" s="33" t="str">
        <f t="shared" si="8"/>
        <v>False</v>
      </c>
      <c r="X139" s="70">
        <f t="shared" si="24"/>
        <v>3.4620611523828236E-3</v>
      </c>
      <c r="Y139" s="71" t="str">
        <f t="shared" si="25"/>
        <v>False</v>
      </c>
      <c r="Z139">
        <f t="shared" si="30"/>
        <v>8.0836669188133889</v>
      </c>
      <c r="AA139">
        <f t="shared" si="31"/>
        <v>0.54667055999999992</v>
      </c>
      <c r="AB139" s="78">
        <f t="shared" si="32"/>
        <v>13.74381129247107</v>
      </c>
      <c r="AC139" s="78" t="str">
        <f t="shared" si="33"/>
        <v>False</v>
      </c>
    </row>
    <row r="140" spans="1:29" ht="12.75" customHeight="1" x14ac:dyDescent="0.15">
      <c r="A140" s="2"/>
      <c r="B140" s="68"/>
      <c r="C140" s="68"/>
      <c r="D140" s="68"/>
      <c r="E140" s="68"/>
      <c r="F140" s="68"/>
      <c r="G140" s="68"/>
      <c r="H140" s="68"/>
      <c r="I140" s="68"/>
      <c r="J140" s="68">
        <f t="shared" si="22"/>
        <v>95</v>
      </c>
      <c r="K140" s="33">
        <f t="shared" si="11"/>
        <v>36.805810153590066</v>
      </c>
      <c r="L140" s="33">
        <f t="shared" si="12"/>
        <v>1673.4799325250847</v>
      </c>
      <c r="M140" s="33">
        <f t="shared" si="23"/>
        <v>1553.8930557740905</v>
      </c>
      <c r="N140" s="33">
        <f t="shared" si="0"/>
        <v>47.195889638697899</v>
      </c>
      <c r="O140" s="33">
        <f t="shared" si="1"/>
        <v>23.467488584303858</v>
      </c>
      <c r="P140" s="33" t="str">
        <f t="shared" si="21"/>
        <v>True</v>
      </c>
      <c r="Q140" s="33">
        <f t="shared" si="3"/>
        <v>23.467488584303858</v>
      </c>
      <c r="R140" s="33">
        <f t="shared" si="14"/>
        <v>113.84754660472778</v>
      </c>
      <c r="S140" s="33">
        <f t="shared" si="4"/>
        <v>0.47195889638697897</v>
      </c>
      <c r="T140" s="33">
        <f t="shared" si="5"/>
        <v>2.1682832475278531</v>
      </c>
      <c r="U140" s="33">
        <f t="shared" si="6"/>
        <v>208.25622401310179</v>
      </c>
      <c r="V140" s="67">
        <f t="shared" si="7"/>
        <v>54.665066353716995</v>
      </c>
      <c r="W140" s="33" t="str">
        <f t="shared" si="8"/>
        <v>False</v>
      </c>
      <c r="X140" s="70">
        <f t="shared" si="24"/>
        <v>3.4295781112872003E-3</v>
      </c>
      <c r="Y140" s="71" t="str">
        <f t="shared" si="25"/>
        <v>False</v>
      </c>
      <c r="Z140">
        <f t="shared" si="30"/>
        <v>8.1418680266064527</v>
      </c>
      <c r="AA140">
        <f t="shared" si="31"/>
        <v>0.54667055999999992</v>
      </c>
      <c r="AB140" s="78">
        <f t="shared" si="32"/>
        <v>13.842764533686262</v>
      </c>
      <c r="AC140" s="78" t="str">
        <f t="shared" si="33"/>
        <v>False</v>
      </c>
    </row>
    <row r="141" spans="1:29" ht="12.75" customHeight="1" x14ac:dyDescent="0.15">
      <c r="A141" s="1"/>
      <c r="J141" s="33">
        <f t="shared" si="22"/>
        <v>96</v>
      </c>
      <c r="K141" s="33">
        <f t="shared" si="11"/>
        <v>37.097410399174834</v>
      </c>
      <c r="L141" s="33">
        <f t="shared" si="12"/>
        <v>1704.8380127779931</v>
      </c>
      <c r="M141" s="33">
        <f t="shared" si="23"/>
        <v>1583.5709840934303</v>
      </c>
      <c r="N141" s="33">
        <f t="shared" si="0"/>
        <v>47.531917049992344</v>
      </c>
      <c r="O141" s="33">
        <f t="shared" si="1"/>
        <v>23.529211764491631</v>
      </c>
      <c r="P141" s="33" t="str">
        <f t="shared" si="21"/>
        <v>True</v>
      </c>
      <c r="Q141" s="33">
        <f t="shared" si="3"/>
        <v>23.529211764491631</v>
      </c>
      <c r="R141" s="33">
        <f t="shared" si="14"/>
        <v>115.47447152064251</v>
      </c>
      <c r="S141" s="33">
        <f t="shared" si="4"/>
        <v>0.47531917049992345</v>
      </c>
      <c r="T141" s="33">
        <f t="shared" si="5"/>
        <v>2.1837210878185567</v>
      </c>
      <c r="U141" s="33">
        <f t="shared" si="6"/>
        <v>211.23228498099937</v>
      </c>
      <c r="V141" s="67">
        <f t="shared" si="7"/>
        <v>54.924243607498099</v>
      </c>
      <c r="W141" s="33" t="str">
        <f t="shared" si="8"/>
        <v>False</v>
      </c>
      <c r="X141" s="70">
        <f t="shared" si="24"/>
        <v>3.3977170385129027E-3</v>
      </c>
      <c r="Y141" s="71" t="str">
        <f t="shared" si="25"/>
        <v>False</v>
      </c>
      <c r="Z141">
        <f t="shared" si="30"/>
        <v>8.199836863660396</v>
      </c>
      <c r="AA141">
        <f t="shared" si="31"/>
        <v>0.54667056000000003</v>
      </c>
      <c r="AB141" s="78">
        <f t="shared" si="32"/>
        <v>13.941322869317236</v>
      </c>
      <c r="AC141" s="78" t="str">
        <f t="shared" si="33"/>
        <v>False</v>
      </c>
    </row>
    <row r="142" spans="1:29" ht="12.75" customHeight="1" x14ac:dyDescent="0.15">
      <c r="A142" s="1"/>
      <c r="J142" s="33">
        <f t="shared" si="22"/>
        <v>97</v>
      </c>
      <c r="K142" s="33">
        <f t="shared" si="11"/>
        <v>37.388054195784058</v>
      </c>
      <c r="L142" s="33">
        <f t="shared" si="12"/>
        <v>1736.4335098098568</v>
      </c>
      <c r="M142" s="33">
        <f t="shared" si="23"/>
        <v>1613.4814274500575</v>
      </c>
      <c r="N142" s="33">
        <f t="shared" si="0"/>
        <v>47.866618009555054</v>
      </c>
      <c r="O142" s="33">
        <f t="shared" si="1"/>
        <v>23.590259039362213</v>
      </c>
      <c r="P142" s="33" t="str">
        <f t="shared" si="21"/>
        <v>True</v>
      </c>
      <c r="Q142" s="33">
        <f t="shared" si="3"/>
        <v>23.590259039362213</v>
      </c>
      <c r="R142" s="33">
        <f t="shared" si="14"/>
        <v>117.10644833882489</v>
      </c>
      <c r="S142" s="33">
        <f t="shared" si="4"/>
        <v>0.47866618009555056</v>
      </c>
      <c r="T142" s="33">
        <f t="shared" si="5"/>
        <v>2.1990979879915811</v>
      </c>
      <c r="U142" s="33">
        <f t="shared" si="6"/>
        <v>214.21758716771745</v>
      </c>
      <c r="V142" s="67">
        <f t="shared" si="7"/>
        <v>55.181791393237305</v>
      </c>
      <c r="W142" s="33" t="str">
        <f t="shared" si="8"/>
        <v>False</v>
      </c>
      <c r="X142" s="70">
        <f t="shared" si="24"/>
        <v>3.3664600388957247E-3</v>
      </c>
      <c r="Y142" s="71" t="str">
        <f t="shared" si="25"/>
        <v>False</v>
      </c>
      <c r="Z142">
        <f t="shared" si="30"/>
        <v>8.2575768715720965</v>
      </c>
      <c r="AA142">
        <f t="shared" si="31"/>
        <v>0.54667055999999992</v>
      </c>
      <c r="AB142" s="78">
        <f t="shared" si="32"/>
        <v>14.039492150750307</v>
      </c>
      <c r="AC142" s="78" t="str">
        <f t="shared" si="33"/>
        <v>False</v>
      </c>
    </row>
    <row r="143" spans="1:29" ht="12.75" customHeight="1" x14ac:dyDescent="0.15">
      <c r="A143" s="1"/>
      <c r="J143" s="33">
        <f t="shared" si="22"/>
        <v>98</v>
      </c>
      <c r="K143" s="33">
        <f t="shared" si="11"/>
        <v>37.677755021717779</v>
      </c>
      <c r="L143" s="33">
        <f t="shared" si="12"/>
        <v>1768.2656308106002</v>
      </c>
      <c r="M143" s="33">
        <f t="shared" si="23"/>
        <v>1643.6236314674318</v>
      </c>
      <c r="N143" s="33">
        <f t="shared" si="0"/>
        <v>48.200011960956033</v>
      </c>
      <c r="O143" s="33">
        <f t="shared" si="1"/>
        <v>23.65064502402311</v>
      </c>
      <c r="P143" s="33" t="str">
        <f t="shared" si="21"/>
        <v>True</v>
      </c>
      <c r="Q143" s="33">
        <f t="shared" si="3"/>
        <v>23.65064502402311</v>
      </c>
      <c r="R143" s="33">
        <f t="shared" si="14"/>
        <v>118.74343671074449</v>
      </c>
      <c r="S143" s="33">
        <f t="shared" si="4"/>
        <v>0.4820001196095603</v>
      </c>
      <c r="T143" s="33">
        <f t="shared" si="5"/>
        <v>2.2144148413274087</v>
      </c>
      <c r="U143" s="33">
        <f t="shared" si="6"/>
        <v>217.2120567654942</v>
      </c>
      <c r="V143" s="67">
        <f t="shared" si="7"/>
        <v>55.437737417862948</v>
      </c>
      <c r="W143" s="33" t="str">
        <f t="shared" si="8"/>
        <v>False</v>
      </c>
      <c r="X143" s="70">
        <f t="shared" si="24"/>
        <v>3.3357899003669794E-3</v>
      </c>
      <c r="Y143" s="71" t="str">
        <f t="shared" si="25"/>
        <v>False</v>
      </c>
      <c r="Z143">
        <f t="shared" si="30"/>
        <v>8.3150914045951136</v>
      </c>
      <c r="AA143">
        <f t="shared" si="31"/>
        <v>0.54667055999999992</v>
      </c>
      <c r="AB143" s="78">
        <f t="shared" si="32"/>
        <v>14.137278080871111</v>
      </c>
      <c r="AC143" s="78" t="str">
        <f t="shared" si="33"/>
        <v>False</v>
      </c>
    </row>
    <row r="144" spans="1:29" ht="12.75" customHeight="1" x14ac:dyDescent="0.15">
      <c r="A144" s="1"/>
      <c r="J144" s="33">
        <f t="shared" si="22"/>
        <v>99</v>
      </c>
      <c r="K144" s="33">
        <f t="shared" si="11"/>
        <v>37.966526023205866</v>
      </c>
      <c r="L144" s="33">
        <f t="shared" si="12"/>
        <v>1800.3335942013821</v>
      </c>
      <c r="M144" s="33">
        <f t="shared" si="23"/>
        <v>1673.9968522859965</v>
      </c>
      <c r="N144" s="33">
        <f t="shared" si="0"/>
        <v>48.532117859536676</v>
      </c>
      <c r="O144" s="33">
        <f t="shared" si="1"/>
        <v>23.710383865201457</v>
      </c>
      <c r="P144" s="33" t="str">
        <f t="shared" si="21"/>
        <v>True</v>
      </c>
      <c r="Q144" s="33">
        <f t="shared" si="3"/>
        <v>23.710383865201457</v>
      </c>
      <c r="R144" s="33">
        <f t="shared" si="14"/>
        <v>120.38539704541124</v>
      </c>
      <c r="S144" s="33">
        <f t="shared" si="4"/>
        <v>0.48532117859536678</v>
      </c>
      <c r="T144" s="33">
        <f t="shared" si="5"/>
        <v>2.229672518676225</v>
      </c>
      <c r="U144" s="33">
        <f t="shared" si="6"/>
        <v>220.21562135230266</v>
      </c>
      <c r="V144" s="67">
        <f t="shared" si="7"/>
        <v>55.692108627314418</v>
      </c>
      <c r="W144" s="33" t="str">
        <f t="shared" si="8"/>
        <v>False</v>
      </c>
      <c r="X144" s="70">
        <f t="shared" si="24"/>
        <v>3.3056900616322982E-3</v>
      </c>
      <c r="Y144" s="71" t="str">
        <f t="shared" si="25"/>
        <v>False</v>
      </c>
      <c r="Z144">
        <f t="shared" si="30"/>
        <v>8.3723837327576067</v>
      </c>
      <c r="AA144">
        <f t="shared" si="31"/>
        <v>0.54667055999999992</v>
      </c>
      <c r="AB144" s="78">
        <f t="shared" si="32"/>
        <v>14.23468621936567</v>
      </c>
      <c r="AC144" s="78" t="str">
        <f t="shared" si="33"/>
        <v>False</v>
      </c>
    </row>
    <row r="145" spans="1:29" ht="12.75" customHeight="1" x14ac:dyDescent="0.15">
      <c r="A145" s="1"/>
      <c r="J145" s="33">
        <f t="shared" si="22"/>
        <v>100</v>
      </c>
      <c r="K145" s="33">
        <f t="shared" si="11"/>
        <v>38.254380026010161</v>
      </c>
      <c r="L145" s="33">
        <f t="shared" si="12"/>
        <v>1832.6366293574181</v>
      </c>
      <c r="M145" s="33">
        <f t="shared" si="23"/>
        <v>1704.6003563068045</v>
      </c>
      <c r="N145" s="33">
        <f t="shared" si="0"/>
        <v>48.862954189655987</v>
      </c>
      <c r="O145" s="33">
        <f t="shared" si="1"/>
        <v>23.76948926102823</v>
      </c>
      <c r="P145" s="33" t="str">
        <f t="shared" si="21"/>
        <v>True</v>
      </c>
      <c r="Q145" s="33">
        <f>IF(P145="True", O145, N145)</f>
        <v>23.76948926102823</v>
      </c>
      <c r="R145" s="33">
        <f>IF(P145="False",$C$7*(M145^$C$8),$C$11*(M145^$C$12))</f>
        <v>122.03229048717701</v>
      </c>
      <c r="S145" s="33">
        <f>$C$15*(M145^$C$16)</f>
        <v>0.48862954189655988</v>
      </c>
      <c r="T145" s="33">
        <f>(((R145/$C$34)/$C$37)^0.5)*0.7071067812</f>
        <v>2.2448718692502441</v>
      </c>
      <c r="U145" s="33">
        <f>(((R145/$C$32)/$C$35)/2)</f>
        <v>223.22820985124389</v>
      </c>
      <c r="V145" s="67">
        <f>0.79*((($C$34*1000000000)/(9.81*$C$33))^0.33)*(S145^0.6667)</f>
        <v>55.944931235225155</v>
      </c>
      <c r="W145" s="33" t="str">
        <f>IF(Q145&gt;V145,"True","False")</f>
        <v>False</v>
      </c>
      <c r="X145" s="70">
        <f>ABS((M145+R145)-L145)/L145</f>
        <v>3.2761445816684659E-3</v>
      </c>
      <c r="Y145" s="71" t="str">
        <f>IF(X145&gt;($H$42/100),"True","False")</f>
        <v>False</v>
      </c>
      <c r="Z145">
        <f t="shared" si="30"/>
        <v>8.4294570448375143</v>
      </c>
      <c r="AA145">
        <f t="shared" si="31"/>
        <v>0.54667056000000003</v>
      </c>
      <c r="AB145" s="78">
        <f t="shared" si="32"/>
        <v>14.331721987778762</v>
      </c>
      <c r="AC145" s="78" t="str">
        <f t="shared" si="33"/>
        <v>False</v>
      </c>
    </row>
    <row r="146" spans="1:29" ht="12.75" customHeight="1" x14ac:dyDescent="0.15">
      <c r="A146" s="1"/>
      <c r="J146" s="33">
        <f t="shared" si="22"/>
        <v>101</v>
      </c>
      <c r="K146" s="33">
        <f>$C$28*(R145^$C$29)*U145</f>
        <v>38.541329546504492</v>
      </c>
      <c r="L146" s="33">
        <f t="shared" si="12"/>
        <v>1865.1739763404862</v>
      </c>
      <c r="M146" s="33">
        <f t="shared" si="23"/>
        <v>1735.4334199440082</v>
      </c>
      <c r="N146" s="33">
        <f>($C$19*(S146^$C$20))-$C$21</f>
        <v>49.192538981155082</v>
      </c>
      <c r="O146" s="33">
        <f>$C$24+($C$25*(LN(S146)))</f>
        <v>23.827974479789539</v>
      </c>
      <c r="P146" s="33" t="str">
        <f t="shared" si="21"/>
        <v>True</v>
      </c>
      <c r="Q146" s="33">
        <f>IF(P146="True", O146, N146)</f>
        <v>23.827974479789539</v>
      </c>
      <c r="R146" s="33">
        <f>IF(P146="False",$C$7*(M146^$C$8),$C$11*(M146^$C$12))</f>
        <v>123.68407889441477</v>
      </c>
      <c r="S146" s="33">
        <f>$C$15*(M146^$C$16)</f>
        <v>0.49192538981155082</v>
      </c>
      <c r="T146" s="33">
        <f>(((R146/$C$34)/$C$37)^0.5)*0.7071067812</f>
        <v>2.2600137213801275</v>
      </c>
      <c r="U146" s="33">
        <f>(((R146/$C$32)/$C$35)/2)</f>
        <v>226.24975249154588</v>
      </c>
      <c r="V146" s="67">
        <f>0.79*((($C$34*1000000000)/(9.81*$C$33))^0.33)*(S146^0.6667)</f>
        <v>56.196230750237419</v>
      </c>
      <c r="W146" s="33" t="str">
        <f>IF(Q146&gt;V146,"True","False")</f>
        <v>False</v>
      </c>
      <c r="X146" s="70">
        <f>ABS((M146+R146)-L146)/L146</f>
        <v>3.2471381109156175E-3</v>
      </c>
      <c r="Y146" s="71" t="str">
        <f>IF(X146&gt;($H$42/100),"True","False")</f>
        <v>False</v>
      </c>
      <c r="Z146">
        <f t="shared" si="30"/>
        <v>8.4863144512028761</v>
      </c>
      <c r="AA146">
        <f t="shared" si="31"/>
        <v>0.54667055999999992</v>
      </c>
      <c r="AB146" s="78">
        <f t="shared" si="32"/>
        <v>14.428390674343051</v>
      </c>
      <c r="AC146" s="78" t="str">
        <f t="shared" si="33"/>
        <v>False</v>
      </c>
    </row>
    <row r="147" spans="1:29" ht="12.75" customHeight="1" x14ac:dyDescent="0.15">
      <c r="A147" s="1"/>
    </row>
    <row r="148" spans="1:29" ht="12.75" customHeight="1" x14ac:dyDescent="0.15">
      <c r="A148" s="1"/>
    </row>
    <row r="149" spans="1:29" ht="12.75" customHeight="1" x14ac:dyDescent="0.15">
      <c r="A149" s="1"/>
    </row>
    <row r="150" spans="1:29" ht="12.75" customHeight="1" x14ac:dyDescent="0.15">
      <c r="A150" s="1"/>
    </row>
    <row r="151" spans="1:29" ht="12.75" customHeight="1" x14ac:dyDescent="0.15">
      <c r="A151" s="1"/>
    </row>
    <row r="152" spans="1:29" ht="12.75" customHeight="1" x14ac:dyDescent="0.15">
      <c r="A152" s="1"/>
    </row>
    <row r="153" spans="1:29" ht="12.75" customHeight="1" x14ac:dyDescent="0.15">
      <c r="A153" s="1"/>
    </row>
    <row r="154" spans="1:29" ht="12.75" customHeight="1" x14ac:dyDescent="0.15">
      <c r="A154" s="1"/>
    </row>
    <row r="155" spans="1:29" ht="12.75" customHeight="1" x14ac:dyDescent="0.15">
      <c r="A155" s="1"/>
    </row>
    <row r="156" spans="1:29" ht="12.75" customHeight="1" x14ac:dyDescent="0.15">
      <c r="A156" s="1"/>
    </row>
    <row r="157" spans="1:29" ht="12.75" customHeight="1" x14ac:dyDescent="0.15">
      <c r="A157" s="1"/>
    </row>
    <row r="158" spans="1:29" ht="12.75" customHeight="1" x14ac:dyDescent="0.15">
      <c r="A158" s="1"/>
    </row>
    <row r="159" spans="1:29" ht="12.75" customHeight="1" x14ac:dyDescent="0.15">
      <c r="A159" s="1"/>
    </row>
    <row r="160" spans="1:29" ht="12.75" customHeight="1" x14ac:dyDescent="0.15">
      <c r="A160" s="1"/>
    </row>
    <row r="161" spans="1:1" ht="12.75" customHeight="1" x14ac:dyDescent="0.15">
      <c r="A161" s="1"/>
    </row>
    <row r="162" spans="1:1" ht="12.75" customHeight="1" x14ac:dyDescent="0.15">
      <c r="A162" s="1"/>
    </row>
    <row r="163" spans="1:1" ht="12.75" customHeight="1" x14ac:dyDescent="0.15">
      <c r="A163" s="1"/>
    </row>
    <row r="164" spans="1:1" ht="12.75" customHeight="1" x14ac:dyDescent="0.15">
      <c r="A164" s="1"/>
    </row>
    <row r="165" spans="1:1" ht="12.75" customHeight="1" x14ac:dyDescent="0.15">
      <c r="A165" s="1"/>
    </row>
    <row r="166" spans="1:1" ht="12.75" customHeight="1" x14ac:dyDescent="0.15">
      <c r="A166" s="1"/>
    </row>
    <row r="167" spans="1:1" ht="12.75" customHeight="1" x14ac:dyDescent="0.15">
      <c r="A167" s="1"/>
    </row>
    <row r="168" spans="1:1" ht="12.75" customHeight="1" x14ac:dyDescent="0.15">
      <c r="A168" s="1"/>
    </row>
    <row r="169" spans="1:1" ht="12.75" customHeight="1" x14ac:dyDescent="0.15">
      <c r="A169" s="1"/>
    </row>
    <row r="170" spans="1:1" ht="12.75" customHeight="1" x14ac:dyDescent="0.15">
      <c r="A170" s="1"/>
    </row>
    <row r="171" spans="1:1" ht="12.75" customHeight="1" x14ac:dyDescent="0.15">
      <c r="A171" s="1"/>
    </row>
    <row r="172" spans="1:1" ht="12.75" customHeight="1" x14ac:dyDescent="0.15">
      <c r="A172" s="1"/>
    </row>
    <row r="173" spans="1:1" ht="12.75" customHeight="1" x14ac:dyDescent="0.15">
      <c r="A173" s="1"/>
    </row>
    <row r="174" spans="1:1" ht="12.75" customHeight="1" x14ac:dyDescent="0.15">
      <c r="A174" s="1"/>
    </row>
    <row r="175" spans="1:1" ht="12.75" customHeight="1" x14ac:dyDescent="0.15">
      <c r="A175" s="1"/>
    </row>
    <row r="176" spans="1:1" ht="12.75" customHeight="1" x14ac:dyDescent="0.15">
      <c r="A176" s="1"/>
    </row>
    <row r="177" spans="1:1" ht="12.75" customHeight="1" x14ac:dyDescent="0.15">
      <c r="A177" s="1"/>
    </row>
    <row r="178" spans="1:1" ht="12.75" customHeight="1" x14ac:dyDescent="0.15">
      <c r="A178" s="1"/>
    </row>
    <row r="179" spans="1:1" ht="12.75" customHeight="1" x14ac:dyDescent="0.15">
      <c r="A179" s="1"/>
    </row>
    <row r="180" spans="1:1" ht="12.75" customHeight="1" x14ac:dyDescent="0.15">
      <c r="A180" s="1"/>
    </row>
    <row r="181" spans="1:1" ht="12.75" customHeight="1" x14ac:dyDescent="0.15">
      <c r="A181" s="1"/>
    </row>
    <row r="182" spans="1:1" ht="12.75" customHeight="1" x14ac:dyDescent="0.15">
      <c r="A182" s="1"/>
    </row>
    <row r="183" spans="1:1" ht="12.75" customHeight="1" x14ac:dyDescent="0.15">
      <c r="A183" s="1"/>
    </row>
    <row r="184" spans="1:1" ht="12.75" customHeight="1" x14ac:dyDescent="0.15">
      <c r="A184" s="1"/>
    </row>
    <row r="185" spans="1:1" ht="12.75" customHeight="1" x14ac:dyDescent="0.15">
      <c r="A185" s="1"/>
    </row>
    <row r="186" spans="1:1" ht="12.75" customHeight="1" x14ac:dyDescent="0.15">
      <c r="A186" s="1"/>
    </row>
    <row r="187" spans="1:1" ht="12.75" customHeight="1" x14ac:dyDescent="0.15">
      <c r="A187" s="1"/>
    </row>
    <row r="188" spans="1:1" ht="12.75" customHeight="1" x14ac:dyDescent="0.15">
      <c r="A188" s="1"/>
    </row>
    <row r="189" spans="1:1" ht="12.75" customHeight="1" x14ac:dyDescent="0.15">
      <c r="A189" s="1"/>
    </row>
    <row r="190" spans="1:1" ht="12.75" customHeight="1" x14ac:dyDescent="0.15">
      <c r="A190" s="1"/>
    </row>
    <row r="191" spans="1:1" ht="12.75" customHeight="1" x14ac:dyDescent="0.15">
      <c r="A191" s="1"/>
    </row>
    <row r="192" spans="1:1" ht="12.75" customHeight="1" x14ac:dyDescent="0.15">
      <c r="A192" s="1"/>
    </row>
    <row r="193" spans="1:1" ht="12.75" customHeight="1" x14ac:dyDescent="0.15">
      <c r="A193" s="1"/>
    </row>
    <row r="194" spans="1:1" ht="12.75" customHeight="1" x14ac:dyDescent="0.15">
      <c r="A194" s="1"/>
    </row>
    <row r="195" spans="1:1" ht="12.75" customHeight="1" x14ac:dyDescent="0.15">
      <c r="A195" s="1"/>
    </row>
    <row r="196" spans="1:1" ht="12.75" customHeight="1" x14ac:dyDescent="0.15">
      <c r="A196" s="1"/>
    </row>
    <row r="197" spans="1:1" ht="12.75" customHeight="1" x14ac:dyDescent="0.15">
      <c r="A197" s="1"/>
    </row>
    <row r="198" spans="1:1" ht="12.75" customHeight="1" x14ac:dyDescent="0.15">
      <c r="A198" s="1"/>
    </row>
    <row r="199" spans="1:1" ht="12.75" customHeight="1" x14ac:dyDescent="0.15">
      <c r="A199" s="1"/>
    </row>
    <row r="200" spans="1:1" ht="12.75" customHeight="1" x14ac:dyDescent="0.15">
      <c r="A200" s="1"/>
    </row>
    <row r="201" spans="1:1" ht="12.75" customHeight="1" x14ac:dyDescent="0.15">
      <c r="A201" s="1"/>
    </row>
    <row r="202" spans="1:1" ht="12.75" customHeight="1" x14ac:dyDescent="0.15">
      <c r="A202" s="1"/>
    </row>
    <row r="203" spans="1:1" ht="12.75" customHeight="1" x14ac:dyDescent="0.15">
      <c r="A203" s="1"/>
    </row>
    <row r="204" spans="1:1" ht="12.75" customHeight="1" x14ac:dyDescent="0.15">
      <c r="A204" s="1"/>
    </row>
    <row r="205" spans="1:1" ht="12.75" customHeight="1" x14ac:dyDescent="0.15">
      <c r="A205" s="1"/>
    </row>
    <row r="206" spans="1:1" ht="12.75" customHeight="1" x14ac:dyDescent="0.15">
      <c r="A206" s="1"/>
    </row>
    <row r="207" spans="1:1" ht="12.75" customHeight="1" x14ac:dyDescent="0.15">
      <c r="A207" s="1"/>
    </row>
    <row r="208" spans="1:1" ht="12.75" customHeight="1" x14ac:dyDescent="0.15">
      <c r="A208" s="1"/>
    </row>
    <row r="209" spans="1:1" ht="12.75" customHeight="1" x14ac:dyDescent="0.15">
      <c r="A209" s="1"/>
    </row>
    <row r="210" spans="1:1" ht="12.75" customHeight="1" x14ac:dyDescent="0.15">
      <c r="A210" s="1"/>
    </row>
    <row r="211" spans="1:1" ht="12.75" customHeight="1" x14ac:dyDescent="0.15">
      <c r="A211" s="1"/>
    </row>
    <row r="212" spans="1:1" ht="12.75" customHeight="1" x14ac:dyDescent="0.15">
      <c r="A212" s="1"/>
    </row>
    <row r="213" spans="1:1" ht="12.75" customHeight="1" x14ac:dyDescent="0.15">
      <c r="A213" s="1"/>
    </row>
    <row r="214" spans="1:1" ht="12.75" customHeight="1" x14ac:dyDescent="0.15">
      <c r="A214" s="1"/>
    </row>
    <row r="215" spans="1:1" ht="12.75" customHeight="1" x14ac:dyDescent="0.15">
      <c r="A215" s="1"/>
    </row>
    <row r="216" spans="1:1" ht="12.75" customHeight="1" x14ac:dyDescent="0.15">
      <c r="A216" s="1"/>
    </row>
    <row r="217" spans="1:1" ht="12.75" customHeight="1" x14ac:dyDescent="0.15">
      <c r="A217" s="1"/>
    </row>
    <row r="218" spans="1:1" ht="12.75" customHeight="1" x14ac:dyDescent="0.15">
      <c r="A218" s="1"/>
    </row>
    <row r="219" spans="1:1" ht="12.75" customHeight="1" x14ac:dyDescent="0.15">
      <c r="A219" s="1"/>
    </row>
    <row r="220" spans="1:1" ht="12.75" customHeight="1" x14ac:dyDescent="0.15">
      <c r="A220" s="1"/>
    </row>
    <row r="221" spans="1:1" ht="12.75" customHeight="1" x14ac:dyDescent="0.15">
      <c r="A221" s="1"/>
    </row>
    <row r="222" spans="1:1" ht="12.75" customHeight="1" x14ac:dyDescent="0.15">
      <c r="A222" s="1"/>
    </row>
    <row r="223" spans="1:1" ht="12.75" customHeight="1" x14ac:dyDescent="0.15">
      <c r="A223" s="1"/>
    </row>
    <row r="224" spans="1:1" ht="12.75" customHeight="1" x14ac:dyDescent="0.15">
      <c r="A224" s="1"/>
    </row>
    <row r="225" spans="1:1" ht="12.75" customHeight="1" x14ac:dyDescent="0.15">
      <c r="A225" s="1"/>
    </row>
    <row r="226" spans="1:1" ht="12.75" customHeight="1" x14ac:dyDescent="0.15">
      <c r="A226" s="1"/>
    </row>
    <row r="227" spans="1:1" ht="12.75" customHeight="1" x14ac:dyDescent="0.15">
      <c r="A227" s="1"/>
    </row>
    <row r="228" spans="1:1" ht="12.75" customHeight="1" x14ac:dyDescent="0.15">
      <c r="A228" s="1"/>
    </row>
    <row r="229" spans="1:1" ht="12.75" customHeight="1" x14ac:dyDescent="0.15">
      <c r="A229" s="1"/>
    </row>
    <row r="230" spans="1:1" ht="12.75" customHeight="1" x14ac:dyDescent="0.15">
      <c r="A230" s="1"/>
    </row>
    <row r="231" spans="1:1" ht="12.75" customHeight="1" x14ac:dyDescent="0.15">
      <c r="A231" s="1"/>
    </row>
    <row r="232" spans="1:1" ht="12.75" customHeight="1" x14ac:dyDescent="0.15">
      <c r="A232" s="1"/>
    </row>
    <row r="233" spans="1:1" ht="12.75" customHeight="1" x14ac:dyDescent="0.15">
      <c r="A233" s="1"/>
    </row>
    <row r="234" spans="1:1" ht="12.75" customHeight="1" x14ac:dyDescent="0.15">
      <c r="A234" s="1"/>
    </row>
    <row r="235" spans="1:1" ht="12.75" customHeight="1" x14ac:dyDescent="0.15">
      <c r="A235" s="1"/>
    </row>
    <row r="236" spans="1:1" ht="12.75" customHeight="1" x14ac:dyDescent="0.15">
      <c r="A236" s="1"/>
    </row>
    <row r="237" spans="1:1" ht="12.75" customHeight="1" x14ac:dyDescent="0.15">
      <c r="A237" s="1"/>
    </row>
    <row r="238" spans="1:1" ht="12.75" customHeight="1" x14ac:dyDescent="0.15">
      <c r="A238" s="1"/>
    </row>
    <row r="239" spans="1:1" ht="12.75" customHeight="1" x14ac:dyDescent="0.15">
      <c r="A239" s="1"/>
    </row>
    <row r="240" spans="1:1" ht="12.75" customHeight="1" x14ac:dyDescent="0.15">
      <c r="A240" s="1"/>
    </row>
    <row r="241" spans="1:1" ht="12.75" customHeight="1" x14ac:dyDescent="0.15">
      <c r="A241" s="1"/>
    </row>
    <row r="242" spans="1:1" ht="12.75" customHeight="1" x14ac:dyDescent="0.15">
      <c r="A242" s="1"/>
    </row>
    <row r="243" spans="1:1" ht="12.75" customHeight="1" x14ac:dyDescent="0.15">
      <c r="A243" s="1"/>
    </row>
    <row r="244" spans="1:1" ht="12.75" customHeight="1" x14ac:dyDescent="0.15">
      <c r="A244" s="1"/>
    </row>
    <row r="245" spans="1:1" ht="12.75" customHeight="1" x14ac:dyDescent="0.15">
      <c r="A245" s="1"/>
    </row>
    <row r="246" spans="1:1" ht="12.75" customHeight="1" x14ac:dyDescent="0.15">
      <c r="A246" s="1"/>
    </row>
    <row r="247" spans="1:1" ht="12.75" customHeight="1" x14ac:dyDescent="0.15">
      <c r="A247" s="1"/>
    </row>
    <row r="248" spans="1:1" ht="12.75" customHeight="1" x14ac:dyDescent="0.15">
      <c r="A248" s="1"/>
    </row>
    <row r="249" spans="1:1" ht="12.75" customHeight="1" x14ac:dyDescent="0.15">
      <c r="A249" s="1"/>
    </row>
    <row r="250" spans="1:1" ht="12.75" customHeight="1" x14ac:dyDescent="0.15">
      <c r="A250" s="1"/>
    </row>
    <row r="251" spans="1:1" ht="12.75" customHeight="1" x14ac:dyDescent="0.15">
      <c r="A251" s="1"/>
    </row>
    <row r="252" spans="1:1" ht="12.75" customHeight="1" x14ac:dyDescent="0.15">
      <c r="A252" s="1"/>
    </row>
    <row r="253" spans="1:1" ht="12.75" customHeight="1" x14ac:dyDescent="0.15">
      <c r="A253" s="1"/>
    </row>
    <row r="254" spans="1:1" ht="12.75" customHeight="1" x14ac:dyDescent="0.15">
      <c r="A254" s="1"/>
    </row>
    <row r="255" spans="1:1" ht="12.75" customHeight="1" x14ac:dyDescent="0.15">
      <c r="A255" s="1"/>
    </row>
    <row r="256" spans="1:1" ht="12.75" customHeight="1" x14ac:dyDescent="0.15">
      <c r="A256" s="1"/>
    </row>
    <row r="257" spans="1:1" ht="12.75" customHeight="1" x14ac:dyDescent="0.15">
      <c r="A257" s="1"/>
    </row>
    <row r="258" spans="1:1" ht="12.75" customHeight="1" x14ac:dyDescent="0.15">
      <c r="A258" s="1"/>
    </row>
    <row r="259" spans="1:1" ht="12.75" customHeight="1" x14ac:dyDescent="0.15">
      <c r="A259" s="1"/>
    </row>
    <row r="260" spans="1:1" ht="12.75" customHeight="1" x14ac:dyDescent="0.15">
      <c r="A260" s="1"/>
    </row>
    <row r="261" spans="1:1" ht="12.75" customHeight="1" x14ac:dyDescent="0.15">
      <c r="A261" s="1"/>
    </row>
    <row r="262" spans="1:1" ht="12.75" customHeight="1" x14ac:dyDescent="0.15">
      <c r="A262" s="1"/>
    </row>
    <row r="263" spans="1:1" ht="12.75" customHeight="1" x14ac:dyDescent="0.15">
      <c r="A263" s="1"/>
    </row>
    <row r="264" spans="1:1" ht="12.75" customHeight="1" x14ac:dyDescent="0.15">
      <c r="A264" s="1"/>
    </row>
    <row r="265" spans="1:1" ht="12.75" customHeight="1" x14ac:dyDescent="0.15">
      <c r="A265" s="1"/>
    </row>
    <row r="266" spans="1:1" ht="12.75" customHeight="1" x14ac:dyDescent="0.15">
      <c r="A266" s="1"/>
    </row>
    <row r="267" spans="1:1" ht="12.75" customHeight="1" x14ac:dyDescent="0.15">
      <c r="A267" s="1"/>
    </row>
    <row r="268" spans="1:1" ht="12.75" customHeight="1" x14ac:dyDescent="0.15">
      <c r="A268" s="1"/>
    </row>
    <row r="269" spans="1:1" ht="12.75" customHeight="1" x14ac:dyDescent="0.15">
      <c r="A269" s="1"/>
    </row>
    <row r="270" spans="1:1" ht="12.75" customHeight="1" x14ac:dyDescent="0.15">
      <c r="A270" s="1"/>
    </row>
    <row r="271" spans="1:1" ht="12.75" customHeight="1" x14ac:dyDescent="0.15">
      <c r="A271" s="1"/>
    </row>
    <row r="272" spans="1:1" ht="12.75" customHeight="1" x14ac:dyDescent="0.15">
      <c r="A272" s="1"/>
    </row>
    <row r="273" spans="1:1" ht="12.75" customHeight="1" x14ac:dyDescent="0.15">
      <c r="A273" s="1"/>
    </row>
    <row r="274" spans="1:1" ht="12.75" customHeight="1" x14ac:dyDescent="0.15">
      <c r="A274" s="1"/>
    </row>
    <row r="275" spans="1:1" ht="12.75" customHeight="1" x14ac:dyDescent="0.15">
      <c r="A275" s="1"/>
    </row>
    <row r="276" spans="1:1" ht="12.75" customHeight="1" x14ac:dyDescent="0.15">
      <c r="A276" s="1"/>
    </row>
    <row r="277" spans="1:1" ht="12.75" customHeight="1" x14ac:dyDescent="0.15">
      <c r="A277" s="1"/>
    </row>
    <row r="278" spans="1:1" ht="12.75" customHeight="1" x14ac:dyDescent="0.15">
      <c r="A278" s="1"/>
    </row>
    <row r="279" spans="1:1" ht="12.75" customHeight="1" x14ac:dyDescent="0.15">
      <c r="A279" s="1"/>
    </row>
    <row r="280" spans="1:1" ht="12.75" customHeight="1" x14ac:dyDescent="0.15">
      <c r="A280" s="1"/>
    </row>
    <row r="281" spans="1:1" ht="12.75" customHeight="1" x14ac:dyDescent="0.15">
      <c r="A281" s="1"/>
    </row>
    <row r="282" spans="1:1" ht="12.75" customHeight="1" x14ac:dyDescent="0.15">
      <c r="A282" s="1"/>
    </row>
    <row r="283" spans="1:1" ht="12.75" customHeight="1" x14ac:dyDescent="0.15">
      <c r="A283" s="1"/>
    </row>
    <row r="284" spans="1:1" ht="12.75" customHeight="1" x14ac:dyDescent="0.15">
      <c r="A284" s="1"/>
    </row>
    <row r="285" spans="1:1" ht="12.75" customHeight="1" x14ac:dyDescent="0.15">
      <c r="A285" s="1"/>
    </row>
    <row r="286" spans="1:1" ht="12.75" customHeight="1" x14ac:dyDescent="0.15">
      <c r="A286" s="1"/>
    </row>
    <row r="287" spans="1:1" ht="12.75" customHeight="1" x14ac:dyDescent="0.15">
      <c r="A287" s="1"/>
    </row>
    <row r="288" spans="1:1" ht="12.75" customHeight="1" x14ac:dyDescent="0.15">
      <c r="A288" s="1"/>
    </row>
    <row r="289" spans="1:1" ht="12.75" customHeight="1" x14ac:dyDescent="0.15">
      <c r="A289" s="1"/>
    </row>
    <row r="290" spans="1:1" ht="12.75" customHeight="1" x14ac:dyDescent="0.15">
      <c r="A290" s="1"/>
    </row>
    <row r="291" spans="1:1" ht="12.75" customHeight="1" x14ac:dyDescent="0.15">
      <c r="A291" s="1"/>
    </row>
    <row r="292" spans="1:1" ht="12.75" customHeight="1" x14ac:dyDescent="0.15">
      <c r="A292" s="1"/>
    </row>
    <row r="293" spans="1:1" ht="12.75" customHeight="1" x14ac:dyDescent="0.15">
      <c r="A293" s="1"/>
    </row>
    <row r="294" spans="1:1" ht="12.75" customHeight="1" x14ac:dyDescent="0.15">
      <c r="A294" s="1"/>
    </row>
    <row r="295" spans="1:1" ht="12.75" customHeight="1" x14ac:dyDescent="0.15">
      <c r="A295" s="1"/>
    </row>
    <row r="296" spans="1:1" ht="12.75" customHeight="1" x14ac:dyDescent="0.15">
      <c r="A296" s="1"/>
    </row>
    <row r="297" spans="1:1" ht="12.75" customHeight="1" x14ac:dyDescent="0.15">
      <c r="A297" s="1"/>
    </row>
    <row r="298" spans="1:1" ht="12.75" customHeight="1" x14ac:dyDescent="0.15">
      <c r="A298" s="1"/>
    </row>
    <row r="299" spans="1:1" ht="12.75" customHeight="1" x14ac:dyDescent="0.15">
      <c r="A299" s="1"/>
    </row>
    <row r="300" spans="1:1" ht="12.75" customHeight="1" x14ac:dyDescent="0.15">
      <c r="A300" s="1"/>
    </row>
    <row r="301" spans="1:1" ht="12.75" customHeight="1" x14ac:dyDescent="0.15">
      <c r="A301" s="1"/>
    </row>
    <row r="302" spans="1:1" ht="12.75" customHeight="1" x14ac:dyDescent="0.15">
      <c r="A302" s="1"/>
    </row>
    <row r="303" spans="1:1" ht="12.75" customHeight="1" x14ac:dyDescent="0.15">
      <c r="A303" s="1"/>
    </row>
    <row r="304" spans="1:1" ht="12.75" customHeight="1" x14ac:dyDescent="0.15">
      <c r="A304" s="1"/>
    </row>
    <row r="305" spans="1:1" ht="12.75" customHeight="1" x14ac:dyDescent="0.15">
      <c r="A305" s="1"/>
    </row>
    <row r="306" spans="1:1" ht="12.75" customHeight="1" x14ac:dyDescent="0.15">
      <c r="A306" s="1"/>
    </row>
    <row r="307" spans="1:1" ht="12.75" customHeight="1" x14ac:dyDescent="0.15">
      <c r="A307" s="1"/>
    </row>
    <row r="308" spans="1:1" ht="12.75" customHeight="1" x14ac:dyDescent="0.15">
      <c r="A308" s="1"/>
    </row>
    <row r="309" spans="1:1" ht="12.75" customHeight="1" x14ac:dyDescent="0.15">
      <c r="A309" s="1"/>
    </row>
    <row r="310" spans="1:1" ht="12.75" customHeight="1" x14ac:dyDescent="0.15">
      <c r="A310" s="1"/>
    </row>
    <row r="311" spans="1:1" ht="12.75" customHeight="1" x14ac:dyDescent="0.15">
      <c r="A311" s="1"/>
    </row>
    <row r="312" spans="1:1" ht="12.75" customHeight="1" x14ac:dyDescent="0.15">
      <c r="A312" s="1"/>
    </row>
    <row r="313" spans="1:1" ht="12.75" customHeight="1" x14ac:dyDescent="0.15">
      <c r="A313" s="1"/>
    </row>
    <row r="314" spans="1:1" ht="12.75" customHeight="1" x14ac:dyDescent="0.15">
      <c r="A314" s="1"/>
    </row>
    <row r="315" spans="1:1" ht="12.75" customHeight="1" x14ac:dyDescent="0.15">
      <c r="A315" s="1"/>
    </row>
    <row r="316" spans="1:1" ht="12.75" customHeight="1" x14ac:dyDescent="0.15">
      <c r="A316" s="1"/>
    </row>
    <row r="317" spans="1:1" ht="12.75" customHeight="1" x14ac:dyDescent="0.15">
      <c r="A317" s="1"/>
    </row>
    <row r="318" spans="1:1" ht="12.75" customHeight="1" x14ac:dyDescent="0.15">
      <c r="A318" s="1"/>
    </row>
    <row r="319" spans="1:1" ht="12.75" customHeight="1" x14ac:dyDescent="0.15">
      <c r="A319" s="1"/>
    </row>
    <row r="320" spans="1:1" ht="12.75" customHeight="1" x14ac:dyDescent="0.15">
      <c r="A320" s="1"/>
    </row>
    <row r="321" spans="1:1" ht="12.75" customHeight="1" x14ac:dyDescent="0.15">
      <c r="A321" s="1"/>
    </row>
    <row r="322" spans="1:1" ht="12.75" customHeight="1" x14ac:dyDescent="0.15">
      <c r="A322" s="1"/>
    </row>
    <row r="323" spans="1:1" ht="12.75" customHeight="1" x14ac:dyDescent="0.15">
      <c r="A323" s="1"/>
    </row>
    <row r="324" spans="1:1" ht="12.75" customHeight="1" x14ac:dyDescent="0.15">
      <c r="A324" s="1"/>
    </row>
    <row r="325" spans="1:1" ht="12.75" customHeight="1" x14ac:dyDescent="0.15">
      <c r="A325" s="1"/>
    </row>
    <row r="326" spans="1:1" ht="12.75" customHeight="1" x14ac:dyDescent="0.15">
      <c r="A326" s="1"/>
    </row>
    <row r="327" spans="1:1" ht="12.75" customHeight="1" x14ac:dyDescent="0.15">
      <c r="A327" s="1"/>
    </row>
    <row r="328" spans="1:1" ht="12.75" customHeight="1" x14ac:dyDescent="0.15">
      <c r="A328" s="1"/>
    </row>
    <row r="329" spans="1:1" ht="12.75" customHeight="1" x14ac:dyDescent="0.15">
      <c r="A329" s="1"/>
    </row>
    <row r="330" spans="1:1" ht="12.75" customHeight="1" x14ac:dyDescent="0.15">
      <c r="A330" s="1"/>
    </row>
    <row r="331" spans="1:1" ht="12.75" customHeight="1" x14ac:dyDescent="0.15">
      <c r="A331" s="1"/>
    </row>
    <row r="332" spans="1:1" ht="12.75" customHeight="1" x14ac:dyDescent="0.15">
      <c r="A332" s="1"/>
    </row>
    <row r="333" spans="1:1" ht="12.75" customHeight="1" x14ac:dyDescent="0.15">
      <c r="A333" s="1"/>
    </row>
    <row r="334" spans="1:1" ht="12.75" customHeight="1" x14ac:dyDescent="0.15">
      <c r="A334" s="1"/>
    </row>
    <row r="335" spans="1:1" ht="12.75" customHeight="1" x14ac:dyDescent="0.15">
      <c r="A335" s="1"/>
    </row>
    <row r="336" spans="1:1" ht="12.75" customHeight="1" x14ac:dyDescent="0.15">
      <c r="A336" s="1"/>
    </row>
    <row r="337" spans="1:1" ht="12.75" customHeight="1" x14ac:dyDescent="0.15">
      <c r="A337" s="1"/>
    </row>
    <row r="338" spans="1:1" ht="12.75" customHeight="1" x14ac:dyDescent="0.15">
      <c r="A338" s="1"/>
    </row>
    <row r="339" spans="1:1" ht="12.75" customHeight="1" x14ac:dyDescent="0.15">
      <c r="A339" s="1"/>
    </row>
    <row r="340" spans="1:1" ht="12.75" customHeight="1" x14ac:dyDescent="0.15">
      <c r="A340" s="1"/>
    </row>
    <row r="341" spans="1:1" ht="12.75" customHeight="1" x14ac:dyDescent="0.15">
      <c r="A341" s="1"/>
    </row>
    <row r="342" spans="1:1" ht="12.75" customHeight="1" x14ac:dyDescent="0.15">
      <c r="A342" s="1"/>
    </row>
    <row r="343" spans="1:1" ht="12.75" customHeight="1" x14ac:dyDescent="0.15">
      <c r="A343" s="1"/>
    </row>
    <row r="344" spans="1:1" ht="12.75" customHeight="1" x14ac:dyDescent="0.15">
      <c r="A344" s="1"/>
    </row>
    <row r="345" spans="1:1" ht="12.75" customHeight="1" x14ac:dyDescent="0.15">
      <c r="A345" s="1"/>
    </row>
    <row r="346" spans="1:1" ht="12.75" customHeight="1" x14ac:dyDescent="0.15">
      <c r="A346" s="1"/>
    </row>
    <row r="347" spans="1:1" ht="12.75" customHeight="1" x14ac:dyDescent="0.15">
      <c r="A347" s="1"/>
    </row>
    <row r="348" spans="1:1" ht="12.75" customHeight="1" x14ac:dyDescent="0.15">
      <c r="A348" s="1"/>
    </row>
    <row r="349" spans="1:1" ht="12.75" customHeight="1" x14ac:dyDescent="0.15">
      <c r="A349" s="1"/>
    </row>
    <row r="350" spans="1:1" ht="12.75" customHeight="1" x14ac:dyDescent="0.15">
      <c r="A350" s="1"/>
    </row>
    <row r="351" spans="1:1" ht="12.75" customHeight="1" x14ac:dyDescent="0.15">
      <c r="A351" s="1"/>
    </row>
    <row r="352" spans="1:1" ht="12.75" customHeight="1" x14ac:dyDescent="0.15">
      <c r="A352" s="1"/>
    </row>
    <row r="353" spans="1:1" ht="12.75" customHeight="1" x14ac:dyDescent="0.15">
      <c r="A353" s="1"/>
    </row>
    <row r="354" spans="1:1" ht="12.75" customHeight="1" x14ac:dyDescent="0.15">
      <c r="A354" s="1"/>
    </row>
    <row r="355" spans="1:1" ht="12.75" customHeight="1" x14ac:dyDescent="0.15">
      <c r="A355" s="1"/>
    </row>
    <row r="356" spans="1:1" ht="12.75" customHeight="1" x14ac:dyDescent="0.15">
      <c r="A356" s="1"/>
    </row>
    <row r="357" spans="1:1" ht="12.75" customHeight="1" x14ac:dyDescent="0.15">
      <c r="A357" s="1"/>
    </row>
    <row r="358" spans="1:1" ht="12.75" customHeight="1" x14ac:dyDescent="0.15">
      <c r="A358" s="1"/>
    </row>
    <row r="359" spans="1:1" ht="12.75" customHeight="1" x14ac:dyDescent="0.15">
      <c r="A359" s="1"/>
    </row>
    <row r="360" spans="1:1" ht="12.75" customHeight="1" x14ac:dyDescent="0.15">
      <c r="A360" s="1"/>
    </row>
    <row r="361" spans="1:1" ht="12.75" customHeight="1" x14ac:dyDescent="0.15">
      <c r="A361" s="1"/>
    </row>
    <row r="362" spans="1:1" ht="12.75" customHeight="1" x14ac:dyDescent="0.15">
      <c r="A362" s="1"/>
    </row>
    <row r="363" spans="1:1" ht="12.75" customHeight="1" x14ac:dyDescent="0.15">
      <c r="A363" s="1"/>
    </row>
    <row r="364" spans="1:1" ht="12.75" customHeight="1" x14ac:dyDescent="0.15">
      <c r="A364" s="1"/>
    </row>
    <row r="365" spans="1:1" ht="12.75" customHeight="1" x14ac:dyDescent="0.15">
      <c r="A365" s="1"/>
    </row>
    <row r="366" spans="1:1" ht="12.75" customHeight="1" x14ac:dyDescent="0.15">
      <c r="A366" s="1"/>
    </row>
    <row r="367" spans="1:1" ht="12.75" customHeight="1" x14ac:dyDescent="0.15">
      <c r="A367" s="1"/>
    </row>
    <row r="368" spans="1:1" ht="12.75" customHeight="1" x14ac:dyDescent="0.15">
      <c r="A368" s="1"/>
    </row>
    <row r="369" spans="1:1" ht="12.75" customHeight="1" x14ac:dyDescent="0.15">
      <c r="A369" s="1"/>
    </row>
    <row r="370" spans="1:1" ht="12.75" customHeight="1" x14ac:dyDescent="0.15">
      <c r="A370" s="1"/>
    </row>
    <row r="371" spans="1:1" ht="12.75" customHeight="1" x14ac:dyDescent="0.15">
      <c r="A371" s="1"/>
    </row>
    <row r="372" spans="1:1" ht="12.75" customHeight="1" x14ac:dyDescent="0.15">
      <c r="A372" s="1"/>
    </row>
    <row r="373" spans="1:1" ht="12.75" customHeight="1" x14ac:dyDescent="0.15">
      <c r="A373" s="1"/>
    </row>
    <row r="374" spans="1:1" ht="12.75" customHeight="1" x14ac:dyDescent="0.15">
      <c r="A374" s="1"/>
    </row>
    <row r="375" spans="1:1" ht="12.75" customHeight="1" x14ac:dyDescent="0.15">
      <c r="A375" s="1"/>
    </row>
    <row r="376" spans="1:1" ht="12.75" customHeight="1" x14ac:dyDescent="0.15">
      <c r="A376" s="1"/>
    </row>
    <row r="377" spans="1:1" ht="12.75" customHeight="1" x14ac:dyDescent="0.15">
      <c r="A377" s="1"/>
    </row>
    <row r="378" spans="1:1" ht="12.75" customHeight="1" x14ac:dyDescent="0.15">
      <c r="A378" s="1"/>
    </row>
    <row r="379" spans="1:1" ht="12.75" customHeight="1" x14ac:dyDescent="0.15">
      <c r="A379" s="1"/>
    </row>
    <row r="380" spans="1:1" ht="12.75" customHeight="1" x14ac:dyDescent="0.15">
      <c r="A380" s="1"/>
    </row>
    <row r="381" spans="1:1" ht="12.75" customHeight="1" x14ac:dyDescent="0.15">
      <c r="A381" s="1"/>
    </row>
    <row r="382" spans="1:1" ht="12.75" customHeight="1" x14ac:dyDescent="0.15">
      <c r="A382" s="1"/>
    </row>
    <row r="383" spans="1:1" ht="12.75" customHeight="1" x14ac:dyDescent="0.15">
      <c r="A383" s="1"/>
    </row>
    <row r="384" spans="1:1" ht="12.75" customHeight="1" x14ac:dyDescent="0.15">
      <c r="A384" s="1"/>
    </row>
    <row r="385" spans="1:1" ht="12.75" customHeight="1" x14ac:dyDescent="0.15">
      <c r="A385" s="1"/>
    </row>
    <row r="386" spans="1:1" ht="12.75" customHeight="1" x14ac:dyDescent="0.15">
      <c r="A386" s="1"/>
    </row>
    <row r="387" spans="1:1" ht="12.75" customHeight="1" x14ac:dyDescent="0.15">
      <c r="A387" s="1"/>
    </row>
    <row r="388" spans="1:1" ht="12.75" customHeight="1" x14ac:dyDescent="0.15">
      <c r="A388" s="1"/>
    </row>
    <row r="389" spans="1:1" ht="12.75" customHeight="1" x14ac:dyDescent="0.15">
      <c r="A389" s="1"/>
    </row>
    <row r="390" spans="1:1" ht="12.75" customHeight="1" x14ac:dyDescent="0.15">
      <c r="A390" s="1"/>
    </row>
    <row r="391" spans="1:1" ht="12.75" customHeight="1" x14ac:dyDescent="0.15">
      <c r="A391" s="1"/>
    </row>
    <row r="392" spans="1:1" ht="12.75" customHeight="1" x14ac:dyDescent="0.15">
      <c r="A392" s="1"/>
    </row>
    <row r="393" spans="1:1" ht="12.75" customHeight="1" x14ac:dyDescent="0.15">
      <c r="A393" s="1"/>
    </row>
    <row r="394" spans="1:1" ht="12.75" customHeight="1" x14ac:dyDescent="0.15">
      <c r="A394" s="1"/>
    </row>
    <row r="395" spans="1:1" ht="12.75" customHeight="1" x14ac:dyDescent="0.15">
      <c r="A395" s="1"/>
    </row>
    <row r="396" spans="1:1" ht="12.75" customHeight="1" x14ac:dyDescent="0.15">
      <c r="A396" s="1"/>
    </row>
    <row r="397" spans="1:1" ht="12.75" customHeight="1" x14ac:dyDescent="0.15">
      <c r="A397" s="1"/>
    </row>
    <row r="398" spans="1:1" ht="12.75" customHeight="1" x14ac:dyDescent="0.15">
      <c r="A398" s="1"/>
    </row>
    <row r="399" spans="1:1" ht="12.75" customHeight="1" x14ac:dyDescent="0.15">
      <c r="A399" s="1"/>
    </row>
    <row r="400" spans="1:1" ht="12.75" customHeight="1" x14ac:dyDescent="0.15">
      <c r="A400" s="1"/>
    </row>
    <row r="401" spans="1:1" ht="12.75" customHeight="1" x14ac:dyDescent="0.15">
      <c r="A401" s="1"/>
    </row>
    <row r="402" spans="1:1" ht="12.75" customHeight="1" x14ac:dyDescent="0.15">
      <c r="A402" s="1"/>
    </row>
    <row r="403" spans="1:1" ht="12.75" customHeight="1" x14ac:dyDescent="0.15">
      <c r="A403" s="1"/>
    </row>
    <row r="404" spans="1:1" ht="12.75" customHeight="1" x14ac:dyDescent="0.15">
      <c r="A404" s="1"/>
    </row>
    <row r="405" spans="1:1" ht="12.75" customHeight="1" x14ac:dyDescent="0.15">
      <c r="A405" s="1"/>
    </row>
    <row r="406" spans="1:1" ht="12.75" customHeight="1" x14ac:dyDescent="0.15">
      <c r="A406" s="1"/>
    </row>
    <row r="407" spans="1:1" ht="12.75" customHeight="1" x14ac:dyDescent="0.15">
      <c r="A407" s="1"/>
    </row>
    <row r="408" spans="1:1" ht="12.75" customHeight="1" x14ac:dyDescent="0.15">
      <c r="A408" s="1"/>
    </row>
    <row r="409" spans="1:1" ht="12.75" customHeight="1" x14ac:dyDescent="0.15">
      <c r="A409" s="1"/>
    </row>
    <row r="410" spans="1:1" ht="12.75" customHeight="1" x14ac:dyDescent="0.15">
      <c r="A410" s="1"/>
    </row>
    <row r="411" spans="1:1" ht="12.75" customHeight="1" x14ac:dyDescent="0.15">
      <c r="A411" s="1"/>
    </row>
    <row r="412" spans="1:1" ht="12.75" customHeight="1" x14ac:dyDescent="0.15">
      <c r="A412" s="1"/>
    </row>
    <row r="413" spans="1:1" ht="12.75" customHeight="1" x14ac:dyDescent="0.15">
      <c r="A413" s="1"/>
    </row>
    <row r="414" spans="1:1" ht="12.75" customHeight="1" x14ac:dyDescent="0.15">
      <c r="A414" s="1"/>
    </row>
    <row r="415" spans="1:1" ht="12.75" customHeight="1" x14ac:dyDescent="0.15">
      <c r="A415" s="1"/>
    </row>
    <row r="416" spans="1:1" ht="12.75" customHeight="1" x14ac:dyDescent="0.15">
      <c r="A416" s="1"/>
    </row>
    <row r="417" spans="1:1" ht="12.75" customHeight="1" x14ac:dyDescent="0.15">
      <c r="A417" s="1"/>
    </row>
    <row r="418" spans="1:1" ht="12.75" customHeight="1" x14ac:dyDescent="0.15">
      <c r="A418" s="1"/>
    </row>
    <row r="419" spans="1:1" ht="12.75" customHeight="1" x14ac:dyDescent="0.15">
      <c r="A419" s="1"/>
    </row>
    <row r="420" spans="1:1" ht="12.75" customHeight="1" x14ac:dyDescent="0.15">
      <c r="A420" s="1"/>
    </row>
    <row r="421" spans="1:1" ht="12.75" customHeight="1" x14ac:dyDescent="0.15">
      <c r="A421" s="1"/>
    </row>
    <row r="422" spans="1:1" ht="12.75" customHeight="1" x14ac:dyDescent="0.15">
      <c r="A422" s="1"/>
    </row>
    <row r="423" spans="1:1" ht="12.75" customHeight="1" x14ac:dyDescent="0.15">
      <c r="A423" s="1"/>
    </row>
    <row r="424" spans="1:1" ht="12.75" customHeight="1" x14ac:dyDescent="0.15">
      <c r="A424" s="1"/>
    </row>
    <row r="425" spans="1:1" ht="12.75" customHeight="1" x14ac:dyDescent="0.15">
      <c r="A425" s="1"/>
    </row>
    <row r="426" spans="1:1" ht="12.75" customHeight="1" x14ac:dyDescent="0.15">
      <c r="A426" s="1"/>
    </row>
    <row r="427" spans="1:1" ht="12.75" customHeight="1" x14ac:dyDescent="0.15">
      <c r="A427" s="1"/>
    </row>
    <row r="428" spans="1:1" ht="12.75" customHeight="1" x14ac:dyDescent="0.15">
      <c r="A428" s="1"/>
    </row>
    <row r="429" spans="1:1" ht="12.75" customHeight="1" x14ac:dyDescent="0.15">
      <c r="A429" s="1"/>
    </row>
    <row r="430" spans="1:1" ht="12.75" customHeight="1" x14ac:dyDescent="0.15">
      <c r="A430" s="1"/>
    </row>
    <row r="431" spans="1:1" ht="12.75" customHeight="1" x14ac:dyDescent="0.15">
      <c r="A431" s="1"/>
    </row>
    <row r="432" spans="1:1" ht="12.75" customHeight="1" x14ac:dyDescent="0.15">
      <c r="A432" s="1"/>
    </row>
    <row r="433" spans="1:1" ht="12.75" customHeight="1" x14ac:dyDescent="0.15">
      <c r="A433" s="1"/>
    </row>
    <row r="434" spans="1:1" ht="12.75" customHeight="1" x14ac:dyDescent="0.15">
      <c r="A434" s="1"/>
    </row>
    <row r="435" spans="1:1" ht="12.75" customHeight="1" x14ac:dyDescent="0.15">
      <c r="A435" s="1"/>
    </row>
    <row r="436" spans="1:1" ht="12.75" customHeight="1" x14ac:dyDescent="0.15">
      <c r="A436" s="1"/>
    </row>
    <row r="437" spans="1:1" ht="12.75" customHeight="1" x14ac:dyDescent="0.15">
      <c r="A437" s="1"/>
    </row>
    <row r="438" spans="1:1" ht="12.75" customHeight="1" x14ac:dyDescent="0.15">
      <c r="A438" s="1"/>
    </row>
    <row r="439" spans="1:1" ht="12.75" customHeight="1" x14ac:dyDescent="0.15">
      <c r="A439" s="1"/>
    </row>
    <row r="440" spans="1:1" ht="12.75" customHeight="1" x14ac:dyDescent="0.15">
      <c r="A440" s="1"/>
    </row>
    <row r="441" spans="1:1" ht="12.75" customHeight="1" x14ac:dyDescent="0.15">
      <c r="A441" s="1"/>
    </row>
    <row r="442" spans="1:1" ht="12.75" customHeight="1" x14ac:dyDescent="0.15">
      <c r="A442" s="1"/>
    </row>
    <row r="443" spans="1:1" ht="12.75" customHeight="1" x14ac:dyDescent="0.15">
      <c r="A443" s="1"/>
    </row>
    <row r="444" spans="1:1" ht="12.75" customHeight="1" x14ac:dyDescent="0.15">
      <c r="A444" s="1"/>
    </row>
    <row r="445" spans="1:1" ht="12.75" customHeight="1" x14ac:dyDescent="0.15">
      <c r="A445" s="1"/>
    </row>
    <row r="446" spans="1:1" ht="12.75" customHeight="1" x14ac:dyDescent="0.15">
      <c r="A446" s="1"/>
    </row>
    <row r="447" spans="1:1" ht="12.75" customHeight="1" x14ac:dyDescent="0.15">
      <c r="A447" s="1"/>
    </row>
    <row r="448" spans="1:1" ht="12.75" customHeight="1" x14ac:dyDescent="0.15">
      <c r="A448" s="1"/>
    </row>
    <row r="449" spans="1:1" ht="12.75" customHeight="1" x14ac:dyDescent="0.15">
      <c r="A449" s="1"/>
    </row>
    <row r="450" spans="1:1" ht="12.75" customHeight="1" x14ac:dyDescent="0.15">
      <c r="A450" s="1"/>
    </row>
    <row r="451" spans="1:1" ht="12.75" customHeight="1" x14ac:dyDescent="0.15">
      <c r="A451" s="1"/>
    </row>
    <row r="452" spans="1:1" ht="12.75" customHeight="1" x14ac:dyDescent="0.15">
      <c r="A452" s="1"/>
    </row>
    <row r="453" spans="1:1" ht="12.75" customHeight="1" x14ac:dyDescent="0.15">
      <c r="A453" s="1"/>
    </row>
    <row r="454" spans="1:1" ht="12.75" customHeight="1" x14ac:dyDescent="0.15">
      <c r="A454" s="1"/>
    </row>
    <row r="455" spans="1:1" ht="12.75" customHeight="1" x14ac:dyDescent="0.15">
      <c r="A455" s="1"/>
    </row>
    <row r="456" spans="1:1" ht="12.75" customHeight="1" x14ac:dyDescent="0.15">
      <c r="A456" s="1"/>
    </row>
    <row r="457" spans="1:1" ht="12.75" customHeight="1" x14ac:dyDescent="0.15">
      <c r="A457" s="1"/>
    </row>
    <row r="458" spans="1:1" ht="12.75" customHeight="1" x14ac:dyDescent="0.15">
      <c r="A458" s="1"/>
    </row>
    <row r="459" spans="1:1" ht="12.75" customHeight="1" x14ac:dyDescent="0.15">
      <c r="A459" s="1"/>
    </row>
    <row r="460" spans="1:1" ht="12.75" customHeight="1" x14ac:dyDescent="0.15">
      <c r="A460" s="1"/>
    </row>
    <row r="461" spans="1:1" ht="12.75" customHeight="1" x14ac:dyDescent="0.15">
      <c r="A461" s="1"/>
    </row>
    <row r="462" spans="1:1" ht="12.75" customHeight="1" x14ac:dyDescent="0.15">
      <c r="A462" s="1"/>
    </row>
    <row r="463" spans="1:1" ht="12.75" customHeight="1" x14ac:dyDescent="0.15">
      <c r="A463" s="1"/>
    </row>
    <row r="464" spans="1:1" ht="12.75" customHeight="1" x14ac:dyDescent="0.15">
      <c r="A464" s="1"/>
    </row>
    <row r="465" spans="1:1" ht="12.75" customHeight="1" x14ac:dyDescent="0.15">
      <c r="A465" s="1"/>
    </row>
    <row r="466" spans="1:1" ht="12.75" customHeight="1" x14ac:dyDescent="0.15">
      <c r="A466" s="1"/>
    </row>
    <row r="467" spans="1:1" ht="12.75" customHeight="1" x14ac:dyDescent="0.15">
      <c r="A467" s="1"/>
    </row>
    <row r="468" spans="1:1" ht="12.75" customHeight="1" x14ac:dyDescent="0.15">
      <c r="A468" s="1"/>
    </row>
    <row r="469" spans="1:1" ht="12.75" customHeight="1" x14ac:dyDescent="0.15">
      <c r="A469" s="1"/>
    </row>
    <row r="470" spans="1:1" ht="12.75" customHeight="1" x14ac:dyDescent="0.15">
      <c r="A470" s="1"/>
    </row>
    <row r="471" spans="1:1" ht="12.75" customHeight="1" x14ac:dyDescent="0.15">
      <c r="A471" s="1"/>
    </row>
    <row r="472" spans="1:1" ht="12.75" customHeight="1" x14ac:dyDescent="0.15">
      <c r="A472" s="1"/>
    </row>
    <row r="473" spans="1:1" ht="12.75" customHeight="1" x14ac:dyDescent="0.15">
      <c r="A473" s="1"/>
    </row>
    <row r="474" spans="1:1" ht="12.75" customHeight="1" x14ac:dyDescent="0.15">
      <c r="A474" s="1"/>
    </row>
    <row r="475" spans="1:1" ht="12.75" customHeight="1" x14ac:dyDescent="0.15">
      <c r="A475" s="1"/>
    </row>
    <row r="476" spans="1:1" ht="12.75" customHeight="1" x14ac:dyDescent="0.15">
      <c r="A476" s="1"/>
    </row>
    <row r="477" spans="1:1" ht="12.75" customHeight="1" x14ac:dyDescent="0.15">
      <c r="A477" s="1"/>
    </row>
    <row r="478" spans="1:1" ht="12.75" customHeight="1" x14ac:dyDescent="0.15">
      <c r="A478" s="1"/>
    </row>
    <row r="479" spans="1:1" ht="12.75" customHeight="1" x14ac:dyDescent="0.15">
      <c r="A479" s="1"/>
    </row>
    <row r="480" spans="1:1" ht="12.75" customHeight="1" x14ac:dyDescent="0.15">
      <c r="A480" s="1"/>
    </row>
    <row r="481" spans="1:1" ht="12.75" customHeight="1" x14ac:dyDescent="0.15">
      <c r="A481" s="1"/>
    </row>
    <row r="482" spans="1:1" ht="12.75" customHeight="1" x14ac:dyDescent="0.15">
      <c r="A482" s="1"/>
    </row>
    <row r="483" spans="1:1" ht="12.75" customHeight="1" x14ac:dyDescent="0.15">
      <c r="A483" s="1"/>
    </row>
    <row r="484" spans="1:1" ht="12.75" customHeight="1" x14ac:dyDescent="0.15">
      <c r="A484" s="1"/>
    </row>
    <row r="485" spans="1:1" ht="12.75" customHeight="1" x14ac:dyDescent="0.15">
      <c r="A485" s="1"/>
    </row>
    <row r="486" spans="1:1" ht="12.75" customHeight="1" x14ac:dyDescent="0.15">
      <c r="A486" s="1"/>
    </row>
    <row r="487" spans="1:1" ht="12.75" customHeight="1" x14ac:dyDescent="0.15">
      <c r="A487" s="1"/>
    </row>
    <row r="488" spans="1:1" ht="12.75" customHeight="1" x14ac:dyDescent="0.15">
      <c r="A488" s="1"/>
    </row>
    <row r="489" spans="1:1" ht="12.75" customHeight="1" x14ac:dyDescent="0.15">
      <c r="A489" s="1"/>
    </row>
    <row r="490" spans="1:1" ht="12.75" customHeight="1" x14ac:dyDescent="0.15">
      <c r="A490" s="1"/>
    </row>
    <row r="491" spans="1:1" ht="12.75" customHeight="1" x14ac:dyDescent="0.15">
      <c r="A491" s="1"/>
    </row>
    <row r="492" spans="1:1" ht="12.75" customHeight="1" x14ac:dyDescent="0.15">
      <c r="A492" s="1"/>
    </row>
    <row r="493" spans="1:1" ht="12.75" customHeight="1" x14ac:dyDescent="0.15">
      <c r="A493" s="1"/>
    </row>
    <row r="494" spans="1:1" ht="12.75" customHeight="1" x14ac:dyDescent="0.15">
      <c r="A494" s="1"/>
    </row>
    <row r="495" spans="1:1" ht="12.75" customHeight="1" x14ac:dyDescent="0.15">
      <c r="A495" s="1"/>
    </row>
    <row r="496" spans="1:1" ht="12.75" customHeight="1" x14ac:dyDescent="0.15">
      <c r="A496" s="1"/>
    </row>
    <row r="497" spans="1:1" ht="12.75" customHeight="1" x14ac:dyDescent="0.15">
      <c r="A497" s="1"/>
    </row>
    <row r="498" spans="1:1" ht="12.75" customHeight="1" x14ac:dyDescent="0.15">
      <c r="A498" s="1"/>
    </row>
    <row r="499" spans="1:1" ht="12.75" customHeight="1" x14ac:dyDescent="0.15">
      <c r="A499" s="1"/>
    </row>
    <row r="500" spans="1:1" ht="12.75" customHeight="1" x14ac:dyDescent="0.15">
      <c r="A500" s="1"/>
    </row>
    <row r="501" spans="1:1" ht="12.75" customHeight="1" x14ac:dyDescent="0.15">
      <c r="A501" s="1"/>
    </row>
    <row r="502" spans="1:1" ht="12.75" customHeight="1" x14ac:dyDescent="0.15">
      <c r="A502" s="1"/>
    </row>
    <row r="503" spans="1:1" ht="12.75" customHeight="1" x14ac:dyDescent="0.15">
      <c r="A503" s="1"/>
    </row>
    <row r="504" spans="1:1" ht="12.75" customHeight="1" x14ac:dyDescent="0.15">
      <c r="A504" s="1"/>
    </row>
    <row r="505" spans="1:1" ht="12.75" customHeight="1" x14ac:dyDescent="0.15">
      <c r="A505" s="1"/>
    </row>
    <row r="506" spans="1:1" ht="12.75" customHeight="1" x14ac:dyDescent="0.15">
      <c r="A506" s="1"/>
    </row>
    <row r="507" spans="1:1" ht="12.75" customHeight="1" x14ac:dyDescent="0.15">
      <c r="A507" s="1"/>
    </row>
    <row r="508" spans="1:1" ht="12.75" customHeight="1" x14ac:dyDescent="0.15">
      <c r="A508" s="1"/>
    </row>
    <row r="509" spans="1:1" ht="12.75" customHeight="1" x14ac:dyDescent="0.15">
      <c r="A509" s="1"/>
    </row>
    <row r="510" spans="1:1" ht="12.75" customHeight="1" x14ac:dyDescent="0.15">
      <c r="A510" s="1"/>
    </row>
    <row r="511" spans="1:1" ht="12.75" customHeight="1" x14ac:dyDescent="0.15">
      <c r="A511" s="1"/>
    </row>
    <row r="512" spans="1:1" ht="12.75" customHeight="1" x14ac:dyDescent="0.15">
      <c r="A512" s="1"/>
    </row>
    <row r="513" spans="1:1" ht="12.75" customHeight="1" x14ac:dyDescent="0.15">
      <c r="A513" s="1"/>
    </row>
    <row r="514" spans="1:1" ht="12.75" customHeight="1" x14ac:dyDescent="0.15">
      <c r="A514" s="1"/>
    </row>
    <row r="515" spans="1:1" ht="12.75" customHeight="1" x14ac:dyDescent="0.15">
      <c r="A515" s="1"/>
    </row>
    <row r="516" spans="1:1" ht="12.75" customHeight="1" x14ac:dyDescent="0.15">
      <c r="A516" s="1"/>
    </row>
    <row r="517" spans="1:1" ht="12.75" customHeight="1" x14ac:dyDescent="0.15">
      <c r="A517" s="1"/>
    </row>
    <row r="518" spans="1:1" ht="12.75" customHeight="1" x14ac:dyDescent="0.15">
      <c r="A518" s="1"/>
    </row>
    <row r="519" spans="1:1" ht="12.75" customHeight="1" x14ac:dyDescent="0.15">
      <c r="A519" s="1"/>
    </row>
    <row r="520" spans="1:1" ht="12.75" customHeight="1" x14ac:dyDescent="0.15">
      <c r="A520" s="1"/>
    </row>
    <row r="521" spans="1:1" ht="12.75" customHeight="1" x14ac:dyDescent="0.15">
      <c r="A521" s="1"/>
    </row>
    <row r="522" spans="1:1" ht="12.75" customHeight="1" x14ac:dyDescent="0.15">
      <c r="A522" s="1"/>
    </row>
    <row r="523" spans="1:1" ht="12.75" customHeight="1" x14ac:dyDescent="0.15">
      <c r="A523" s="1"/>
    </row>
    <row r="524" spans="1:1" ht="12.75" customHeight="1" x14ac:dyDescent="0.15">
      <c r="A524" s="1"/>
    </row>
    <row r="525" spans="1:1" ht="12.75" customHeight="1" x14ac:dyDescent="0.15">
      <c r="A525" s="1"/>
    </row>
    <row r="526" spans="1:1" ht="12.75" customHeight="1" x14ac:dyDescent="0.15">
      <c r="A526" s="1"/>
    </row>
    <row r="527" spans="1:1" ht="12.75" customHeight="1" x14ac:dyDescent="0.15">
      <c r="A527" s="1"/>
    </row>
    <row r="528" spans="1:1" ht="12.75" customHeight="1" x14ac:dyDescent="0.15">
      <c r="A528" s="1"/>
    </row>
    <row r="529" spans="1:1" ht="12.75" customHeight="1" x14ac:dyDescent="0.15">
      <c r="A529" s="1"/>
    </row>
    <row r="530" spans="1:1" ht="12.75" customHeight="1" x14ac:dyDescent="0.15">
      <c r="A530" s="1"/>
    </row>
    <row r="531" spans="1:1" ht="12.75" customHeight="1" x14ac:dyDescent="0.15">
      <c r="A531" s="1"/>
    </row>
    <row r="532" spans="1:1" ht="12.75" customHeight="1" x14ac:dyDescent="0.15">
      <c r="A532" s="1"/>
    </row>
    <row r="533" spans="1:1" ht="12.75" customHeight="1" x14ac:dyDescent="0.15">
      <c r="A533" s="1"/>
    </row>
    <row r="534" spans="1:1" ht="12.75" customHeight="1" x14ac:dyDescent="0.15">
      <c r="A534" s="1"/>
    </row>
    <row r="535" spans="1:1" ht="12.75" customHeight="1" x14ac:dyDescent="0.15">
      <c r="A535" s="1"/>
    </row>
    <row r="536" spans="1:1" ht="12.75" customHeight="1" x14ac:dyDescent="0.15">
      <c r="A536" s="1"/>
    </row>
    <row r="537" spans="1:1" ht="12.75" customHeight="1" x14ac:dyDescent="0.15">
      <c r="A537" s="1"/>
    </row>
    <row r="538" spans="1:1" ht="12.75" customHeight="1" x14ac:dyDescent="0.15">
      <c r="A538" s="1"/>
    </row>
    <row r="539" spans="1:1" ht="12.75" customHeight="1" x14ac:dyDescent="0.15">
      <c r="A539" s="1"/>
    </row>
    <row r="540" spans="1:1" ht="12.75" customHeight="1" x14ac:dyDescent="0.15">
      <c r="A540" s="1"/>
    </row>
    <row r="541" spans="1:1" ht="12.75" customHeight="1" x14ac:dyDescent="0.15">
      <c r="A541" s="1"/>
    </row>
    <row r="542" spans="1:1" ht="12.75" customHeight="1" x14ac:dyDescent="0.15">
      <c r="A542" s="1"/>
    </row>
    <row r="543" spans="1:1" ht="12.75" customHeight="1" x14ac:dyDescent="0.15">
      <c r="A543" s="1"/>
    </row>
    <row r="544" spans="1:1" ht="12.75" customHeight="1" x14ac:dyDescent="0.15">
      <c r="A544" s="1"/>
    </row>
    <row r="545" spans="1:1" ht="12.75" customHeight="1" x14ac:dyDescent="0.15">
      <c r="A545" s="1"/>
    </row>
    <row r="546" spans="1:1" ht="12.75" customHeight="1" x14ac:dyDescent="0.15">
      <c r="A546" s="1"/>
    </row>
    <row r="547" spans="1:1" ht="12.75" customHeight="1" x14ac:dyDescent="0.15">
      <c r="A547" s="1"/>
    </row>
    <row r="548" spans="1:1" ht="12.75" customHeight="1" x14ac:dyDescent="0.15">
      <c r="A548" s="1"/>
    </row>
    <row r="549" spans="1:1" ht="12.75" customHeight="1" x14ac:dyDescent="0.15">
      <c r="A549" s="1"/>
    </row>
    <row r="550" spans="1:1" ht="12.75" customHeight="1" x14ac:dyDescent="0.15">
      <c r="A550" s="1"/>
    </row>
    <row r="551" spans="1:1" ht="12.75" customHeight="1" x14ac:dyDescent="0.15">
      <c r="A551" s="1"/>
    </row>
    <row r="552" spans="1:1" ht="12.75" customHeight="1" x14ac:dyDescent="0.15">
      <c r="A552" s="1"/>
    </row>
    <row r="553" spans="1:1" ht="12.75" customHeight="1" x14ac:dyDescent="0.15">
      <c r="A553" s="1"/>
    </row>
    <row r="554" spans="1:1" ht="12.75" customHeight="1" x14ac:dyDescent="0.15">
      <c r="A554" s="1"/>
    </row>
    <row r="555" spans="1:1" ht="12.75" customHeight="1" x14ac:dyDescent="0.15">
      <c r="A555" s="1"/>
    </row>
    <row r="556" spans="1:1" ht="12.75" customHeight="1" x14ac:dyDescent="0.15">
      <c r="A556" s="1"/>
    </row>
    <row r="557" spans="1:1" ht="12.75" customHeight="1" x14ac:dyDescent="0.15">
      <c r="A557" s="1"/>
    </row>
    <row r="558" spans="1:1" ht="12.75" customHeight="1" x14ac:dyDescent="0.15">
      <c r="A558" s="1"/>
    </row>
    <row r="559" spans="1:1" ht="12.75" customHeight="1" x14ac:dyDescent="0.15">
      <c r="A559" s="1"/>
    </row>
    <row r="560" spans="1:1" ht="12.75" customHeight="1" x14ac:dyDescent="0.15">
      <c r="A560" s="1"/>
    </row>
    <row r="561" spans="1:1" ht="12.75" customHeight="1" x14ac:dyDescent="0.15">
      <c r="A561" s="1"/>
    </row>
    <row r="562" spans="1:1" ht="12.75" customHeight="1" x14ac:dyDescent="0.15">
      <c r="A562" s="1"/>
    </row>
    <row r="563" spans="1:1" ht="12.75" customHeight="1" x14ac:dyDescent="0.15">
      <c r="A563" s="1"/>
    </row>
    <row r="564" spans="1:1" ht="12.75" customHeight="1" x14ac:dyDescent="0.15">
      <c r="A564" s="1"/>
    </row>
    <row r="565" spans="1:1" ht="12.75" customHeight="1" x14ac:dyDescent="0.15">
      <c r="A565" s="1"/>
    </row>
    <row r="566" spans="1:1" ht="12.75" customHeight="1" x14ac:dyDescent="0.15">
      <c r="A566" s="1"/>
    </row>
    <row r="567" spans="1:1" ht="12.75" customHeight="1" x14ac:dyDescent="0.15">
      <c r="A567" s="1"/>
    </row>
    <row r="568" spans="1:1" ht="12.75" customHeight="1" x14ac:dyDescent="0.15">
      <c r="A568" s="1"/>
    </row>
    <row r="569" spans="1:1" ht="12.75" customHeight="1" x14ac:dyDescent="0.15">
      <c r="A569" s="1"/>
    </row>
    <row r="570" spans="1:1" ht="12.75" customHeight="1" x14ac:dyDescent="0.15">
      <c r="A570" s="1"/>
    </row>
    <row r="571" spans="1:1" ht="12.75" customHeight="1" x14ac:dyDescent="0.15">
      <c r="A571" s="1"/>
    </row>
    <row r="572" spans="1:1" ht="12.75" customHeight="1" x14ac:dyDescent="0.15">
      <c r="A572" s="1"/>
    </row>
    <row r="573" spans="1:1" ht="12.75" customHeight="1" x14ac:dyDescent="0.15">
      <c r="A573" s="1"/>
    </row>
    <row r="574" spans="1:1" ht="12.75" customHeight="1" x14ac:dyDescent="0.15">
      <c r="A574" s="1"/>
    </row>
    <row r="575" spans="1:1" ht="12.75" customHeight="1" x14ac:dyDescent="0.15">
      <c r="A575" s="1"/>
    </row>
    <row r="576" spans="1:1" ht="12.75" customHeight="1" x14ac:dyDescent="0.15">
      <c r="A576" s="1"/>
    </row>
    <row r="577" spans="1:1" ht="12.75" customHeight="1" x14ac:dyDescent="0.15">
      <c r="A577" s="1"/>
    </row>
    <row r="578" spans="1:1" ht="12.75" customHeight="1" x14ac:dyDescent="0.15">
      <c r="A578" s="1"/>
    </row>
    <row r="579" spans="1:1" ht="12.75" customHeight="1" x14ac:dyDescent="0.15">
      <c r="A579" s="1"/>
    </row>
    <row r="580" spans="1:1" ht="12.75" customHeight="1" x14ac:dyDescent="0.15">
      <c r="A580" s="1"/>
    </row>
    <row r="581" spans="1:1" ht="12.75" customHeight="1" x14ac:dyDescent="0.15">
      <c r="A581" s="1"/>
    </row>
    <row r="582" spans="1:1" ht="12.75" customHeight="1" x14ac:dyDescent="0.15">
      <c r="A582" s="1"/>
    </row>
    <row r="583" spans="1:1" ht="12.75" customHeight="1" x14ac:dyDescent="0.15">
      <c r="A583" s="1"/>
    </row>
    <row r="584" spans="1:1" ht="12.75" customHeight="1" x14ac:dyDescent="0.15">
      <c r="A584" s="1"/>
    </row>
    <row r="585" spans="1:1" ht="12.75" customHeight="1" x14ac:dyDescent="0.15">
      <c r="A585" s="1"/>
    </row>
    <row r="586" spans="1:1" ht="12.75" customHeight="1" x14ac:dyDescent="0.15">
      <c r="A586" s="1"/>
    </row>
    <row r="587" spans="1:1" ht="12.75" customHeight="1" x14ac:dyDescent="0.15">
      <c r="A587" s="1"/>
    </row>
    <row r="588" spans="1:1" ht="12.75" customHeight="1" x14ac:dyDescent="0.15">
      <c r="A588" s="1"/>
    </row>
    <row r="589" spans="1:1" ht="12.75" customHeight="1" x14ac:dyDescent="0.15">
      <c r="A589" s="1"/>
    </row>
    <row r="590" spans="1:1" ht="12.75" customHeight="1" x14ac:dyDescent="0.15">
      <c r="A590" s="1"/>
    </row>
    <row r="591" spans="1:1" ht="12.75" customHeight="1" x14ac:dyDescent="0.15">
      <c r="A591" s="1"/>
    </row>
    <row r="592" spans="1:1" ht="12.75" customHeight="1" x14ac:dyDescent="0.15">
      <c r="A592" s="1"/>
    </row>
    <row r="593" spans="1:1" ht="12.75" customHeight="1" x14ac:dyDescent="0.15">
      <c r="A593" s="1"/>
    </row>
    <row r="594" spans="1:1" ht="12.75" customHeight="1" x14ac:dyDescent="0.15">
      <c r="A594" s="1"/>
    </row>
    <row r="595" spans="1:1" ht="12.75" customHeight="1" x14ac:dyDescent="0.15">
      <c r="A595" s="1"/>
    </row>
    <row r="596" spans="1:1" ht="12.75" customHeight="1" x14ac:dyDescent="0.15">
      <c r="A596" s="1"/>
    </row>
    <row r="597" spans="1:1" ht="12.75" customHeight="1" x14ac:dyDescent="0.15">
      <c r="A597" s="1"/>
    </row>
    <row r="598" spans="1:1" ht="12.75" customHeight="1" x14ac:dyDescent="0.15">
      <c r="A598" s="1"/>
    </row>
    <row r="599" spans="1:1" ht="12.75" customHeight="1" x14ac:dyDescent="0.15">
      <c r="A599" s="1"/>
    </row>
    <row r="600" spans="1:1" ht="12.75" customHeight="1" x14ac:dyDescent="0.15">
      <c r="A600" s="1"/>
    </row>
    <row r="601" spans="1:1" ht="12.75" customHeight="1" x14ac:dyDescent="0.15">
      <c r="A601" s="1"/>
    </row>
    <row r="602" spans="1:1" ht="12.75" customHeight="1" x14ac:dyDescent="0.15">
      <c r="A602" s="1"/>
    </row>
    <row r="603" spans="1:1" ht="12.75" customHeight="1" x14ac:dyDescent="0.15">
      <c r="A603" s="1"/>
    </row>
    <row r="604" spans="1:1" ht="12.75" customHeight="1" x14ac:dyDescent="0.15">
      <c r="A604" s="1"/>
    </row>
    <row r="605" spans="1:1" ht="12.75" customHeight="1" x14ac:dyDescent="0.15">
      <c r="A605" s="1"/>
    </row>
    <row r="606" spans="1:1" ht="12.75" customHeight="1" x14ac:dyDescent="0.15">
      <c r="A606" s="1"/>
    </row>
    <row r="607" spans="1:1" ht="12.75" customHeight="1" x14ac:dyDescent="0.15">
      <c r="A607" s="1"/>
    </row>
    <row r="608" spans="1:1" ht="12.75" customHeight="1" x14ac:dyDescent="0.15">
      <c r="A608" s="1"/>
    </row>
    <row r="609" spans="1:1" ht="12.75" customHeight="1" x14ac:dyDescent="0.15">
      <c r="A609" s="1"/>
    </row>
    <row r="610" spans="1:1" ht="12.75" customHeight="1" x14ac:dyDescent="0.15">
      <c r="A610" s="1"/>
    </row>
    <row r="611" spans="1:1" ht="12.75" customHeight="1" x14ac:dyDescent="0.15">
      <c r="A611" s="1"/>
    </row>
    <row r="612" spans="1:1" ht="12.75" customHeight="1" x14ac:dyDescent="0.15">
      <c r="A612" s="1"/>
    </row>
    <row r="613" spans="1:1" ht="12.75" customHeight="1" x14ac:dyDescent="0.15">
      <c r="A613" s="1"/>
    </row>
    <row r="614" spans="1:1" ht="12.75" customHeight="1" x14ac:dyDescent="0.15">
      <c r="A614" s="1"/>
    </row>
    <row r="615" spans="1:1" ht="12.75" customHeight="1" x14ac:dyDescent="0.15">
      <c r="A615" s="1"/>
    </row>
    <row r="616" spans="1:1" ht="12.75" customHeight="1" x14ac:dyDescent="0.15">
      <c r="A616" s="1"/>
    </row>
    <row r="617" spans="1:1" ht="12.75" customHeight="1" x14ac:dyDescent="0.15">
      <c r="A617" s="1"/>
    </row>
    <row r="618" spans="1:1" ht="12.75" customHeight="1" x14ac:dyDescent="0.15">
      <c r="A618" s="1"/>
    </row>
    <row r="619" spans="1:1" ht="12.75" customHeight="1" x14ac:dyDescent="0.15">
      <c r="A619" s="1"/>
    </row>
    <row r="620" spans="1:1" ht="12.75" customHeight="1" x14ac:dyDescent="0.15">
      <c r="A620" s="1"/>
    </row>
    <row r="621" spans="1:1" ht="12.75" customHeight="1" x14ac:dyDescent="0.15">
      <c r="A621" s="1"/>
    </row>
    <row r="622" spans="1:1" ht="12.75" customHeight="1" x14ac:dyDescent="0.15">
      <c r="A622" s="1"/>
    </row>
    <row r="623" spans="1:1" ht="12.75" customHeight="1" x14ac:dyDescent="0.15">
      <c r="A623" s="1"/>
    </row>
    <row r="624" spans="1:1" ht="12.75" customHeight="1" x14ac:dyDescent="0.15">
      <c r="A624" s="1"/>
    </row>
    <row r="625" spans="1:1" ht="12.75" customHeight="1" x14ac:dyDescent="0.15">
      <c r="A625" s="1"/>
    </row>
    <row r="626" spans="1:1" ht="12.75" customHeight="1" x14ac:dyDescent="0.15">
      <c r="A626" s="1"/>
    </row>
    <row r="627" spans="1:1" ht="12.75" customHeight="1" x14ac:dyDescent="0.15">
      <c r="A627" s="1"/>
    </row>
    <row r="628" spans="1:1" ht="12.75" customHeight="1" x14ac:dyDescent="0.15">
      <c r="A628" s="1"/>
    </row>
    <row r="629" spans="1:1" ht="12.75" customHeight="1" x14ac:dyDescent="0.15">
      <c r="A629" s="1"/>
    </row>
    <row r="630" spans="1:1" ht="12.75" customHeight="1" x14ac:dyDescent="0.15">
      <c r="A630" s="1"/>
    </row>
    <row r="631" spans="1:1" ht="12.75" customHeight="1" x14ac:dyDescent="0.15">
      <c r="A631" s="1"/>
    </row>
    <row r="632" spans="1:1" ht="12.75" customHeight="1" x14ac:dyDescent="0.15">
      <c r="A632" s="1"/>
    </row>
    <row r="633" spans="1:1" ht="12.75" customHeight="1" x14ac:dyDescent="0.15">
      <c r="A633" s="1"/>
    </row>
    <row r="634" spans="1:1" ht="12.75" customHeight="1" x14ac:dyDescent="0.15">
      <c r="A634" s="1"/>
    </row>
    <row r="635" spans="1:1" ht="12.75" customHeight="1" x14ac:dyDescent="0.15">
      <c r="A635" s="1"/>
    </row>
    <row r="636" spans="1:1" ht="12.75" customHeight="1" x14ac:dyDescent="0.15">
      <c r="A636" s="1"/>
    </row>
    <row r="637" spans="1:1" ht="12.75" customHeight="1" x14ac:dyDescent="0.15">
      <c r="A637" s="1"/>
    </row>
    <row r="638" spans="1:1" ht="12.75" customHeight="1" x14ac:dyDescent="0.15">
      <c r="A638" s="1"/>
    </row>
    <row r="639" spans="1:1" ht="12.75" customHeight="1" x14ac:dyDescent="0.15">
      <c r="A639" s="1"/>
    </row>
    <row r="640" spans="1:1" ht="12.75" customHeight="1" x14ac:dyDescent="0.15">
      <c r="A640" s="1"/>
    </row>
    <row r="641" spans="1:1" ht="12.75" customHeight="1" x14ac:dyDescent="0.15">
      <c r="A641" s="1"/>
    </row>
    <row r="642" spans="1:1" ht="12.75" customHeight="1" x14ac:dyDescent="0.15">
      <c r="A642" s="1"/>
    </row>
    <row r="643" spans="1:1" ht="12.75" customHeight="1" x14ac:dyDescent="0.15">
      <c r="A643" s="1"/>
    </row>
    <row r="644" spans="1:1" ht="12.75" customHeight="1" x14ac:dyDescent="0.15">
      <c r="A644" s="1"/>
    </row>
    <row r="645" spans="1:1" ht="12.75" customHeight="1" x14ac:dyDescent="0.15">
      <c r="A645" s="1"/>
    </row>
    <row r="646" spans="1:1" ht="12.75" customHeight="1" x14ac:dyDescent="0.15">
      <c r="A646" s="1"/>
    </row>
    <row r="647" spans="1:1" ht="12.75" customHeight="1" x14ac:dyDescent="0.15">
      <c r="A647" s="1"/>
    </row>
    <row r="648" spans="1:1" ht="12.75" customHeight="1" x14ac:dyDescent="0.15">
      <c r="A648" s="1"/>
    </row>
    <row r="649" spans="1:1" ht="12.75" customHeight="1" x14ac:dyDescent="0.15">
      <c r="A649" s="1"/>
    </row>
    <row r="650" spans="1:1" ht="12.75" customHeight="1" x14ac:dyDescent="0.15">
      <c r="A650" s="1"/>
    </row>
    <row r="651" spans="1:1" ht="12.75" customHeight="1" x14ac:dyDescent="0.15">
      <c r="A651" s="1"/>
    </row>
    <row r="652" spans="1:1" ht="12.75" customHeight="1" x14ac:dyDescent="0.15">
      <c r="A652" s="1"/>
    </row>
    <row r="653" spans="1:1" ht="12.75" customHeight="1" x14ac:dyDescent="0.15">
      <c r="A653" s="1"/>
    </row>
    <row r="654" spans="1:1" ht="12.75" customHeight="1" x14ac:dyDescent="0.15">
      <c r="A654" s="1"/>
    </row>
    <row r="655" spans="1:1" ht="12.75" customHeight="1" x14ac:dyDescent="0.15">
      <c r="A655" s="1"/>
    </row>
    <row r="656" spans="1:1" ht="12.75" customHeight="1" x14ac:dyDescent="0.15">
      <c r="A656" s="1"/>
    </row>
    <row r="657" spans="1:1" ht="12.75" customHeight="1" x14ac:dyDescent="0.15">
      <c r="A657" s="1"/>
    </row>
    <row r="658" spans="1:1" ht="12.75" customHeight="1" x14ac:dyDescent="0.15">
      <c r="A658" s="1"/>
    </row>
    <row r="659" spans="1:1" ht="12.75" customHeight="1" x14ac:dyDescent="0.15">
      <c r="A659" s="1"/>
    </row>
    <row r="660" spans="1:1" ht="12.75" customHeight="1" x14ac:dyDescent="0.15">
      <c r="A660" s="1"/>
    </row>
    <row r="661" spans="1:1" ht="12.75" customHeight="1" x14ac:dyDescent="0.15">
      <c r="A661" s="1"/>
    </row>
    <row r="662" spans="1:1" ht="12.75" customHeight="1" x14ac:dyDescent="0.15">
      <c r="A662" s="1"/>
    </row>
    <row r="663" spans="1:1" ht="12.75" customHeight="1" x14ac:dyDescent="0.15">
      <c r="A663" s="1"/>
    </row>
    <row r="664" spans="1:1" ht="12.75" customHeight="1" x14ac:dyDescent="0.15">
      <c r="A664" s="1"/>
    </row>
    <row r="665" spans="1:1" ht="12.75" customHeight="1" x14ac:dyDescent="0.15">
      <c r="A665" s="1"/>
    </row>
    <row r="666" spans="1:1" ht="12.75" customHeight="1" x14ac:dyDescent="0.15">
      <c r="A666" s="1"/>
    </row>
    <row r="667" spans="1:1" ht="12.75" customHeight="1" x14ac:dyDescent="0.15">
      <c r="A667" s="1"/>
    </row>
    <row r="668" spans="1:1" ht="12.75" customHeight="1" x14ac:dyDescent="0.15">
      <c r="A668" s="1"/>
    </row>
    <row r="669" spans="1:1" ht="12.75" customHeight="1" x14ac:dyDescent="0.15">
      <c r="A669" s="1"/>
    </row>
    <row r="670" spans="1:1" ht="12.75" customHeight="1" x14ac:dyDescent="0.15">
      <c r="A670" s="1"/>
    </row>
    <row r="671" spans="1:1" ht="12.75" customHeight="1" x14ac:dyDescent="0.15">
      <c r="A671" s="1"/>
    </row>
    <row r="672" spans="1:1" ht="12.75" customHeight="1" x14ac:dyDescent="0.15">
      <c r="A672" s="1"/>
    </row>
    <row r="673" spans="1:1" ht="12.75" customHeight="1" x14ac:dyDescent="0.15">
      <c r="A673" s="1"/>
    </row>
    <row r="674" spans="1:1" ht="12.75" customHeight="1" x14ac:dyDescent="0.15">
      <c r="A674" s="1"/>
    </row>
    <row r="675" spans="1:1" ht="12.75" customHeight="1" x14ac:dyDescent="0.15">
      <c r="A675" s="1"/>
    </row>
    <row r="676" spans="1:1" ht="12.75" customHeight="1" x14ac:dyDescent="0.15">
      <c r="A676" s="1"/>
    </row>
    <row r="677" spans="1:1" ht="12.75" customHeight="1" x14ac:dyDescent="0.15">
      <c r="A677" s="1"/>
    </row>
    <row r="678" spans="1:1" ht="12.75" customHeight="1" x14ac:dyDescent="0.15">
      <c r="A678" s="1"/>
    </row>
    <row r="679" spans="1:1" ht="12.75" customHeight="1" x14ac:dyDescent="0.15">
      <c r="A679" s="1"/>
    </row>
    <row r="680" spans="1:1" ht="12.75" customHeight="1" x14ac:dyDescent="0.15">
      <c r="A680" s="1"/>
    </row>
    <row r="681" spans="1:1" ht="12.75" customHeight="1" x14ac:dyDescent="0.15">
      <c r="A681" s="1"/>
    </row>
    <row r="682" spans="1:1" ht="12.75" customHeight="1" x14ac:dyDescent="0.15">
      <c r="A682" s="1"/>
    </row>
    <row r="683" spans="1:1" ht="12.75" customHeight="1" x14ac:dyDescent="0.15">
      <c r="A683" s="1"/>
    </row>
    <row r="684" spans="1:1" ht="12.75" customHeight="1" x14ac:dyDescent="0.15">
      <c r="A684" s="1"/>
    </row>
    <row r="685" spans="1:1" ht="12.75" customHeight="1" x14ac:dyDescent="0.15">
      <c r="A685" s="1"/>
    </row>
    <row r="686" spans="1:1" ht="12.75" customHeight="1" x14ac:dyDescent="0.15">
      <c r="A686" s="1"/>
    </row>
    <row r="687" spans="1:1" ht="12.75" customHeight="1" x14ac:dyDescent="0.15">
      <c r="A687" s="1"/>
    </row>
    <row r="688" spans="1:1" ht="12.75" customHeight="1" x14ac:dyDescent="0.15">
      <c r="A688" s="1"/>
    </row>
    <row r="689" spans="1:1" ht="12.75" customHeight="1" x14ac:dyDescent="0.15">
      <c r="A689" s="1"/>
    </row>
    <row r="690" spans="1:1" ht="12.75" customHeight="1" x14ac:dyDescent="0.15">
      <c r="A690" s="1"/>
    </row>
    <row r="691" spans="1:1" ht="12.75" customHeight="1" x14ac:dyDescent="0.15">
      <c r="A691" s="1"/>
    </row>
    <row r="692" spans="1:1" ht="12.75" customHeight="1" x14ac:dyDescent="0.15">
      <c r="A692" s="1"/>
    </row>
    <row r="693" spans="1:1" ht="12.75" customHeight="1" x14ac:dyDescent="0.15">
      <c r="A693" s="1"/>
    </row>
    <row r="694" spans="1:1" ht="12.75" customHeight="1" x14ac:dyDescent="0.15">
      <c r="A694" s="1"/>
    </row>
    <row r="695" spans="1:1" ht="12.75" customHeight="1" x14ac:dyDescent="0.15">
      <c r="A695" s="1"/>
    </row>
    <row r="696" spans="1:1" ht="12.75" customHeight="1" x14ac:dyDescent="0.15">
      <c r="A696" s="1"/>
    </row>
    <row r="697" spans="1:1" ht="12.75" customHeight="1" x14ac:dyDescent="0.15">
      <c r="A697" s="1"/>
    </row>
    <row r="698" spans="1:1" ht="12.75" customHeight="1" x14ac:dyDescent="0.15">
      <c r="A698" s="1"/>
    </row>
    <row r="699" spans="1:1" ht="12.75" customHeight="1" x14ac:dyDescent="0.15">
      <c r="A699" s="1"/>
    </row>
    <row r="700" spans="1:1" ht="12.75" customHeight="1" x14ac:dyDescent="0.15">
      <c r="A700" s="1"/>
    </row>
    <row r="701" spans="1:1" ht="12.75" customHeight="1" x14ac:dyDescent="0.15">
      <c r="A701" s="1"/>
    </row>
    <row r="702" spans="1:1" ht="12.75" customHeight="1" x14ac:dyDescent="0.15">
      <c r="A702" s="1"/>
    </row>
    <row r="703" spans="1:1" ht="12.75" customHeight="1" x14ac:dyDescent="0.15">
      <c r="A703" s="1"/>
    </row>
    <row r="704" spans="1:1" ht="12.75" customHeight="1" x14ac:dyDescent="0.15">
      <c r="A704" s="1"/>
    </row>
    <row r="705" spans="1:1" ht="12.75" customHeight="1" x14ac:dyDescent="0.15">
      <c r="A705" s="1"/>
    </row>
    <row r="706" spans="1:1" ht="12.75" customHeight="1" x14ac:dyDescent="0.15">
      <c r="A706" s="1"/>
    </row>
    <row r="707" spans="1:1" ht="12.75" customHeight="1" x14ac:dyDescent="0.15">
      <c r="A707" s="1"/>
    </row>
    <row r="708" spans="1:1" ht="12.75" customHeight="1" x14ac:dyDescent="0.15">
      <c r="A708" s="1"/>
    </row>
    <row r="709" spans="1:1" ht="12.75" customHeight="1" x14ac:dyDescent="0.15">
      <c r="A709" s="1"/>
    </row>
    <row r="710" spans="1:1" ht="12.75" customHeight="1" x14ac:dyDescent="0.15">
      <c r="A710" s="1"/>
    </row>
    <row r="711" spans="1:1" ht="12.75" customHeight="1" x14ac:dyDescent="0.15">
      <c r="A711" s="1"/>
    </row>
    <row r="712" spans="1:1" ht="12.75" customHeight="1" x14ac:dyDescent="0.15">
      <c r="A712" s="1"/>
    </row>
    <row r="713" spans="1:1" ht="12.75" customHeight="1" x14ac:dyDescent="0.15">
      <c r="A713" s="1"/>
    </row>
    <row r="714" spans="1:1" ht="12.75" customHeight="1" x14ac:dyDescent="0.15">
      <c r="A714" s="1"/>
    </row>
    <row r="715" spans="1:1" ht="12.75" customHeight="1" x14ac:dyDescent="0.15">
      <c r="A715" s="1"/>
    </row>
    <row r="716" spans="1:1" ht="12.75" customHeight="1" x14ac:dyDescent="0.15">
      <c r="A716" s="1"/>
    </row>
    <row r="717" spans="1:1" ht="12.75" customHeight="1" x14ac:dyDescent="0.15">
      <c r="A717" s="1"/>
    </row>
    <row r="718" spans="1:1" ht="12.75" customHeight="1" x14ac:dyDescent="0.15">
      <c r="A718" s="1"/>
    </row>
    <row r="719" spans="1:1" ht="12.75" customHeight="1" x14ac:dyDescent="0.15">
      <c r="A719" s="1"/>
    </row>
    <row r="720" spans="1:1" ht="12.75" customHeight="1" x14ac:dyDescent="0.15">
      <c r="A720" s="1"/>
    </row>
    <row r="721" spans="1:1" ht="12.75" customHeight="1" x14ac:dyDescent="0.15">
      <c r="A721" s="1"/>
    </row>
    <row r="722" spans="1:1" ht="12.75" customHeight="1" x14ac:dyDescent="0.15">
      <c r="A722" s="1"/>
    </row>
    <row r="723" spans="1:1" ht="12.75" customHeight="1" x14ac:dyDescent="0.15">
      <c r="A723" s="1"/>
    </row>
    <row r="724" spans="1:1" ht="12.75" customHeight="1" x14ac:dyDescent="0.15">
      <c r="A724" s="1"/>
    </row>
    <row r="725" spans="1:1" ht="12.75" customHeight="1" x14ac:dyDescent="0.15">
      <c r="A725" s="1"/>
    </row>
    <row r="726" spans="1:1" ht="12.75" customHeight="1" x14ac:dyDescent="0.15">
      <c r="A726" s="1"/>
    </row>
    <row r="727" spans="1:1" ht="12.75" customHeight="1" x14ac:dyDescent="0.15">
      <c r="A727" s="1"/>
    </row>
    <row r="728" spans="1:1" ht="12.75" customHeight="1" x14ac:dyDescent="0.15">
      <c r="A728" s="1"/>
    </row>
    <row r="729" spans="1:1" ht="12.75" customHeight="1" x14ac:dyDescent="0.15">
      <c r="A729" s="1"/>
    </row>
    <row r="730" spans="1:1" ht="12.75" customHeight="1" x14ac:dyDescent="0.15">
      <c r="A730" s="1"/>
    </row>
    <row r="731" spans="1:1" ht="12.75" customHeight="1" x14ac:dyDescent="0.15">
      <c r="A731" s="1"/>
    </row>
    <row r="732" spans="1:1" ht="12.75" customHeight="1" x14ac:dyDescent="0.15">
      <c r="A732" s="1"/>
    </row>
    <row r="733" spans="1:1" ht="12.75" customHeight="1" x14ac:dyDescent="0.15">
      <c r="A733" s="1"/>
    </row>
    <row r="734" spans="1:1" ht="12.75" customHeight="1" x14ac:dyDescent="0.15">
      <c r="A734" s="1"/>
    </row>
    <row r="735" spans="1:1" ht="12.75" customHeight="1" x14ac:dyDescent="0.15">
      <c r="A735" s="1"/>
    </row>
    <row r="736" spans="1:1" ht="12.75" customHeight="1" x14ac:dyDescent="0.15">
      <c r="A736" s="1"/>
    </row>
    <row r="737" spans="1:1" ht="12.75" customHeight="1" x14ac:dyDescent="0.15">
      <c r="A737" s="1"/>
    </row>
    <row r="738" spans="1:1" ht="12.75" customHeight="1" x14ac:dyDescent="0.15">
      <c r="A738" s="1"/>
    </row>
    <row r="739" spans="1:1" ht="12.75" customHeight="1" x14ac:dyDescent="0.15">
      <c r="A739" s="1"/>
    </row>
    <row r="740" spans="1:1" ht="12.75" customHeight="1" x14ac:dyDescent="0.15">
      <c r="A740" s="1"/>
    </row>
    <row r="741" spans="1:1" ht="12.75" customHeight="1" x14ac:dyDescent="0.15">
      <c r="A741" s="1"/>
    </row>
    <row r="742" spans="1:1" ht="12.75" customHeight="1" x14ac:dyDescent="0.15">
      <c r="A742" s="1"/>
    </row>
    <row r="743" spans="1:1" ht="12.75" customHeight="1" x14ac:dyDescent="0.15">
      <c r="A743" s="1"/>
    </row>
    <row r="744" spans="1:1" ht="12.75" customHeight="1" x14ac:dyDescent="0.15">
      <c r="A744" s="1"/>
    </row>
    <row r="745" spans="1:1" ht="12.75" customHeight="1" x14ac:dyDescent="0.15">
      <c r="A745" s="1"/>
    </row>
    <row r="746" spans="1:1" ht="12.75" customHeight="1" x14ac:dyDescent="0.15">
      <c r="A746" s="1"/>
    </row>
    <row r="747" spans="1:1" ht="12.75" customHeight="1" x14ac:dyDescent="0.15">
      <c r="A747" s="1"/>
    </row>
    <row r="748" spans="1:1" ht="12.75" customHeight="1" x14ac:dyDescent="0.15">
      <c r="A748" s="1"/>
    </row>
    <row r="749" spans="1:1" ht="12.75" customHeight="1" x14ac:dyDescent="0.15">
      <c r="A749" s="1"/>
    </row>
    <row r="750" spans="1:1" ht="12.75" customHeight="1" x14ac:dyDescent="0.15">
      <c r="A750" s="1"/>
    </row>
    <row r="751" spans="1:1" ht="12.75" customHeight="1" x14ac:dyDescent="0.15">
      <c r="A751" s="1"/>
    </row>
    <row r="752" spans="1:1" ht="12.75" customHeight="1" x14ac:dyDescent="0.15">
      <c r="A752" s="1"/>
    </row>
    <row r="753" spans="1:1" ht="12.75" customHeight="1" x14ac:dyDescent="0.15">
      <c r="A753" s="1"/>
    </row>
    <row r="754" spans="1:1" ht="12.75" customHeight="1" x14ac:dyDescent="0.15">
      <c r="A754" s="1"/>
    </row>
    <row r="755" spans="1:1" ht="12.75" customHeight="1" x14ac:dyDescent="0.15">
      <c r="A755" s="1"/>
    </row>
    <row r="756" spans="1:1" ht="12.75" customHeight="1" x14ac:dyDescent="0.15">
      <c r="A756" s="1"/>
    </row>
    <row r="757" spans="1:1" ht="12.75" customHeight="1" x14ac:dyDescent="0.15">
      <c r="A757" s="1"/>
    </row>
    <row r="758" spans="1:1" ht="12.75" customHeight="1" x14ac:dyDescent="0.15">
      <c r="A758" s="1"/>
    </row>
    <row r="759" spans="1:1" ht="12.75" customHeight="1" x14ac:dyDescent="0.15">
      <c r="A759" s="1"/>
    </row>
    <row r="760" spans="1:1" ht="12.75" customHeight="1" x14ac:dyDescent="0.15">
      <c r="A760" s="1"/>
    </row>
    <row r="761" spans="1:1" ht="12.75" customHeight="1" x14ac:dyDescent="0.15">
      <c r="A761" s="1"/>
    </row>
    <row r="762" spans="1:1" ht="12.75" customHeight="1" x14ac:dyDescent="0.15">
      <c r="A762" s="1"/>
    </row>
    <row r="763" spans="1:1" ht="12.75" customHeight="1" x14ac:dyDescent="0.15">
      <c r="A763" s="1"/>
    </row>
    <row r="764" spans="1:1" ht="12.75" customHeight="1" x14ac:dyDescent="0.15">
      <c r="A764" s="1"/>
    </row>
    <row r="765" spans="1:1" ht="12.75" customHeight="1" x14ac:dyDescent="0.15">
      <c r="A765" s="1"/>
    </row>
    <row r="766" spans="1:1" ht="12.75" customHeight="1" x14ac:dyDescent="0.15">
      <c r="A766" s="1"/>
    </row>
    <row r="767" spans="1:1" ht="12.75" customHeight="1" x14ac:dyDescent="0.15">
      <c r="A767" s="1"/>
    </row>
    <row r="768" spans="1:1" ht="12.75" customHeight="1" x14ac:dyDescent="0.15">
      <c r="A768" s="1"/>
    </row>
    <row r="769" spans="1:1" ht="12.75" customHeight="1" x14ac:dyDescent="0.15">
      <c r="A769" s="1"/>
    </row>
    <row r="770" spans="1:1" ht="12.75" customHeight="1" x14ac:dyDescent="0.15">
      <c r="A770" s="1"/>
    </row>
    <row r="771" spans="1:1" ht="12.75" customHeight="1" x14ac:dyDescent="0.15">
      <c r="A771" s="1"/>
    </row>
    <row r="772" spans="1:1" ht="12.75" customHeight="1" x14ac:dyDescent="0.15">
      <c r="A772" s="1"/>
    </row>
    <row r="773" spans="1:1" ht="12.75" customHeight="1" x14ac:dyDescent="0.15">
      <c r="A773" s="1"/>
    </row>
    <row r="774" spans="1:1" ht="12.75" customHeight="1" x14ac:dyDescent="0.15">
      <c r="A774" s="1"/>
    </row>
    <row r="775" spans="1:1" ht="12.75" customHeight="1" x14ac:dyDescent="0.15">
      <c r="A775" s="1"/>
    </row>
    <row r="776" spans="1:1" ht="12.75" customHeight="1" x14ac:dyDescent="0.15">
      <c r="A776" s="1"/>
    </row>
    <row r="777" spans="1:1" ht="12.75" customHeight="1" x14ac:dyDescent="0.15">
      <c r="A777" s="1"/>
    </row>
    <row r="778" spans="1:1" ht="12.75" customHeight="1" x14ac:dyDescent="0.15">
      <c r="A778" s="1"/>
    </row>
    <row r="779" spans="1:1" ht="12.75" customHeight="1" x14ac:dyDescent="0.15">
      <c r="A779" s="1"/>
    </row>
    <row r="780" spans="1:1" ht="12.75" customHeight="1" x14ac:dyDescent="0.15">
      <c r="A780" s="1"/>
    </row>
    <row r="781" spans="1:1" ht="12.75" customHeight="1" x14ac:dyDescent="0.15">
      <c r="A781" s="1"/>
    </row>
    <row r="782" spans="1:1" ht="12.75" customHeight="1" x14ac:dyDescent="0.15">
      <c r="A782" s="1"/>
    </row>
    <row r="783" spans="1:1" ht="12.75" customHeight="1" x14ac:dyDescent="0.15">
      <c r="A783" s="1"/>
    </row>
    <row r="784" spans="1:1" ht="12.75" customHeight="1" x14ac:dyDescent="0.15">
      <c r="A784" s="1"/>
    </row>
    <row r="785" spans="1:1" ht="12.75" customHeight="1" x14ac:dyDescent="0.15">
      <c r="A785" s="1"/>
    </row>
    <row r="786" spans="1:1" ht="12.75" customHeight="1" x14ac:dyDescent="0.15">
      <c r="A786" s="1"/>
    </row>
    <row r="787" spans="1:1" ht="12.75" customHeight="1" x14ac:dyDescent="0.15">
      <c r="A787" s="1"/>
    </row>
    <row r="788" spans="1:1" ht="12.75" customHeight="1" x14ac:dyDescent="0.15">
      <c r="A788" s="1"/>
    </row>
    <row r="789" spans="1:1" ht="12.75" customHeight="1" x14ac:dyDescent="0.15">
      <c r="A789" s="1"/>
    </row>
    <row r="790" spans="1:1" ht="12.75" customHeight="1" x14ac:dyDescent="0.15">
      <c r="A790" s="1"/>
    </row>
    <row r="791" spans="1:1" ht="12.75" customHeight="1" x14ac:dyDescent="0.15">
      <c r="A791" s="1"/>
    </row>
    <row r="792" spans="1:1" ht="12.75" customHeight="1" x14ac:dyDescent="0.15">
      <c r="A792" s="1"/>
    </row>
    <row r="793" spans="1:1" ht="12.75" customHeight="1" x14ac:dyDescent="0.15">
      <c r="A793" s="1"/>
    </row>
    <row r="794" spans="1:1" ht="12.75" customHeight="1" x14ac:dyDescent="0.15">
      <c r="A794" s="1"/>
    </row>
    <row r="795" spans="1:1" ht="12.75" customHeight="1" x14ac:dyDescent="0.15">
      <c r="A795" s="1"/>
    </row>
    <row r="796" spans="1:1" ht="12.75" customHeight="1" x14ac:dyDescent="0.15">
      <c r="A796" s="1"/>
    </row>
    <row r="797" spans="1:1" ht="12.75" customHeight="1" x14ac:dyDescent="0.15">
      <c r="A797" s="1"/>
    </row>
    <row r="798" spans="1:1" ht="12.75" customHeight="1" x14ac:dyDescent="0.15">
      <c r="A798" s="1"/>
    </row>
    <row r="799" spans="1:1" ht="12.75" customHeight="1" x14ac:dyDescent="0.15">
      <c r="A799" s="1"/>
    </row>
    <row r="800" spans="1:1" ht="12.75" customHeight="1" x14ac:dyDescent="0.15">
      <c r="A800" s="1"/>
    </row>
    <row r="801" spans="1:1" ht="12.75" customHeight="1" x14ac:dyDescent="0.15">
      <c r="A801" s="1"/>
    </row>
    <row r="802" spans="1:1" ht="12.75" customHeight="1" x14ac:dyDescent="0.15">
      <c r="A802" s="1"/>
    </row>
    <row r="803" spans="1:1" ht="12.75" customHeight="1" x14ac:dyDescent="0.15">
      <c r="A803" s="1"/>
    </row>
    <row r="804" spans="1:1" ht="12.75" customHeight="1" x14ac:dyDescent="0.15">
      <c r="A804" s="1"/>
    </row>
    <row r="805" spans="1:1" ht="12.75" customHeight="1" x14ac:dyDescent="0.15">
      <c r="A805" s="1"/>
    </row>
    <row r="806" spans="1:1" ht="12.75" customHeight="1" x14ac:dyDescent="0.15">
      <c r="A806" s="1"/>
    </row>
    <row r="807" spans="1:1" ht="12.75" customHeight="1" x14ac:dyDescent="0.15">
      <c r="A807" s="1"/>
    </row>
    <row r="808" spans="1:1" ht="12.75" customHeight="1" x14ac:dyDescent="0.15">
      <c r="A808" s="1"/>
    </row>
    <row r="809" spans="1:1" ht="12.75" customHeight="1" x14ac:dyDescent="0.15">
      <c r="A809" s="1"/>
    </row>
    <row r="810" spans="1:1" ht="12.75" customHeight="1" x14ac:dyDescent="0.15">
      <c r="A810" s="1"/>
    </row>
    <row r="811" spans="1:1" ht="12.75" customHeight="1" x14ac:dyDescent="0.15">
      <c r="A811" s="1"/>
    </row>
    <row r="812" spans="1:1" ht="12.75" customHeight="1" x14ac:dyDescent="0.15">
      <c r="A812" s="1"/>
    </row>
    <row r="813" spans="1:1" ht="12.75" customHeight="1" x14ac:dyDescent="0.15">
      <c r="A813" s="1"/>
    </row>
    <row r="814" spans="1:1" ht="12.75" customHeight="1" x14ac:dyDescent="0.15">
      <c r="A814" s="1"/>
    </row>
    <row r="815" spans="1:1" ht="12.75" customHeight="1" x14ac:dyDescent="0.15">
      <c r="A815" s="1"/>
    </row>
    <row r="816" spans="1:1" ht="12.75" customHeight="1" x14ac:dyDescent="0.15">
      <c r="A816" s="1"/>
    </row>
    <row r="817" spans="1:1" ht="12.75" customHeight="1" x14ac:dyDescent="0.15">
      <c r="A817" s="1"/>
    </row>
    <row r="818" spans="1:1" ht="12.75" customHeight="1" x14ac:dyDescent="0.15">
      <c r="A818" s="1"/>
    </row>
    <row r="819" spans="1:1" ht="12.75" customHeight="1" x14ac:dyDescent="0.15">
      <c r="A819" s="1"/>
    </row>
    <row r="820" spans="1:1" ht="12.75" customHeight="1" x14ac:dyDescent="0.15">
      <c r="A820" s="1"/>
    </row>
    <row r="821" spans="1:1" ht="12.75" customHeight="1" x14ac:dyDescent="0.15">
      <c r="A821" s="1"/>
    </row>
    <row r="822" spans="1:1" ht="12.75" customHeight="1" x14ac:dyDescent="0.15">
      <c r="A822" s="1"/>
    </row>
    <row r="823" spans="1:1" ht="12.75" customHeight="1" x14ac:dyDescent="0.15">
      <c r="A823" s="1"/>
    </row>
    <row r="824" spans="1:1" ht="12.75" customHeight="1" x14ac:dyDescent="0.15">
      <c r="A824" s="1"/>
    </row>
    <row r="825" spans="1:1" ht="12.75" customHeight="1" x14ac:dyDescent="0.15">
      <c r="A825" s="1"/>
    </row>
    <row r="826" spans="1:1" ht="12.75" customHeight="1" x14ac:dyDescent="0.15">
      <c r="A826" s="1"/>
    </row>
    <row r="827" spans="1:1" ht="12.75" customHeight="1" x14ac:dyDescent="0.15">
      <c r="A827" s="1"/>
    </row>
    <row r="828" spans="1:1" ht="12.75" customHeight="1" x14ac:dyDescent="0.15">
      <c r="A828" s="1"/>
    </row>
    <row r="829" spans="1:1" ht="12.75" customHeight="1" x14ac:dyDescent="0.15">
      <c r="A829" s="1"/>
    </row>
    <row r="830" spans="1:1" ht="12.75" customHeight="1" x14ac:dyDescent="0.15">
      <c r="A830" s="1"/>
    </row>
    <row r="831" spans="1:1" ht="12.75" customHeight="1" x14ac:dyDescent="0.15">
      <c r="A831" s="1"/>
    </row>
    <row r="832" spans="1:1" ht="12.75" customHeight="1" x14ac:dyDescent="0.15">
      <c r="A832" s="1"/>
    </row>
    <row r="833" spans="1:1" ht="12.75" customHeight="1" x14ac:dyDescent="0.15">
      <c r="A833" s="1"/>
    </row>
    <row r="834" spans="1:1" ht="12.75" customHeight="1" x14ac:dyDescent="0.15">
      <c r="A834" s="1"/>
    </row>
    <row r="835" spans="1:1" ht="12.75" customHeight="1" x14ac:dyDescent="0.15">
      <c r="A835" s="1"/>
    </row>
    <row r="836" spans="1:1" ht="12.75" customHeight="1" x14ac:dyDescent="0.15">
      <c r="A836" s="1"/>
    </row>
    <row r="837" spans="1:1" ht="12.75" customHeight="1" x14ac:dyDescent="0.15">
      <c r="A837" s="1"/>
    </row>
    <row r="838" spans="1:1" ht="12.75" customHeight="1" x14ac:dyDescent="0.15">
      <c r="A838" s="1"/>
    </row>
    <row r="839" spans="1:1" ht="12.75" customHeight="1" x14ac:dyDescent="0.15">
      <c r="A839" s="1"/>
    </row>
    <row r="840" spans="1:1" ht="12.75" customHeight="1" x14ac:dyDescent="0.15">
      <c r="A840" s="1"/>
    </row>
    <row r="841" spans="1:1" ht="12.75" customHeight="1" x14ac:dyDescent="0.15">
      <c r="A841" s="1"/>
    </row>
    <row r="842" spans="1:1" ht="12.75" customHeight="1" x14ac:dyDescent="0.15">
      <c r="A842" s="1"/>
    </row>
    <row r="843" spans="1:1" ht="12.75" customHeight="1" x14ac:dyDescent="0.15">
      <c r="A843" s="1"/>
    </row>
    <row r="844" spans="1:1" ht="12.75" customHeight="1" x14ac:dyDescent="0.15">
      <c r="A844" s="1"/>
    </row>
    <row r="845" spans="1:1" ht="12.75" customHeight="1" x14ac:dyDescent="0.15">
      <c r="A845" s="1"/>
    </row>
    <row r="846" spans="1:1" ht="12.75" customHeight="1" x14ac:dyDescent="0.15">
      <c r="A846" s="1"/>
    </row>
    <row r="847" spans="1:1" ht="12.75" customHeight="1" x14ac:dyDescent="0.15">
      <c r="A847" s="1"/>
    </row>
    <row r="848" spans="1:1" ht="12.75" customHeight="1" x14ac:dyDescent="0.15">
      <c r="A848" s="1"/>
    </row>
    <row r="849" spans="1:1" ht="12.75" customHeight="1" x14ac:dyDescent="0.15">
      <c r="A849" s="1"/>
    </row>
    <row r="850" spans="1:1" ht="12.75" customHeight="1" x14ac:dyDescent="0.15">
      <c r="A850" s="1"/>
    </row>
    <row r="851" spans="1:1" ht="12.75" customHeight="1" x14ac:dyDescent="0.15">
      <c r="A851" s="1"/>
    </row>
    <row r="852" spans="1:1" ht="12.75" customHeight="1" x14ac:dyDescent="0.15">
      <c r="A852" s="1"/>
    </row>
    <row r="853" spans="1:1" ht="12.75" customHeight="1" x14ac:dyDescent="0.15">
      <c r="A853" s="1"/>
    </row>
    <row r="854" spans="1:1" ht="12.75" customHeight="1" x14ac:dyDescent="0.15">
      <c r="A854" s="1"/>
    </row>
    <row r="855" spans="1:1" ht="12.75" customHeight="1" x14ac:dyDescent="0.15">
      <c r="A855" s="1"/>
    </row>
    <row r="856" spans="1:1" ht="12.75" customHeight="1" x14ac:dyDescent="0.15">
      <c r="A856" s="1"/>
    </row>
    <row r="857" spans="1:1" ht="12.75" customHeight="1" x14ac:dyDescent="0.15">
      <c r="A857" s="1"/>
    </row>
    <row r="858" spans="1:1" ht="12.75" customHeight="1" x14ac:dyDescent="0.15">
      <c r="A858" s="1"/>
    </row>
    <row r="859" spans="1:1" ht="12.75" customHeight="1" x14ac:dyDescent="0.15">
      <c r="A859" s="1"/>
    </row>
    <row r="860" spans="1:1" ht="12.75" customHeight="1" x14ac:dyDescent="0.15">
      <c r="A860" s="1"/>
    </row>
    <row r="861" spans="1:1" ht="12.75" customHeight="1" x14ac:dyDescent="0.15">
      <c r="A861" s="1"/>
    </row>
    <row r="862" spans="1:1" ht="12.75" customHeight="1" x14ac:dyDescent="0.15">
      <c r="A862" s="1"/>
    </row>
    <row r="863" spans="1:1" ht="12.75" customHeight="1" x14ac:dyDescent="0.15">
      <c r="A863" s="1"/>
    </row>
    <row r="864" spans="1:1" ht="12.75" customHeight="1" x14ac:dyDescent="0.15">
      <c r="A864" s="1"/>
    </row>
    <row r="865" spans="1:1" ht="12.75" customHeight="1" x14ac:dyDescent="0.15">
      <c r="A865" s="1"/>
    </row>
    <row r="866" spans="1:1" ht="12.75" customHeight="1" x14ac:dyDescent="0.15">
      <c r="A866" s="1"/>
    </row>
    <row r="867" spans="1:1" ht="12.75" customHeight="1" x14ac:dyDescent="0.15">
      <c r="A867" s="1"/>
    </row>
    <row r="868" spans="1:1" ht="12.75" customHeight="1" x14ac:dyDescent="0.15">
      <c r="A868" s="1"/>
    </row>
    <row r="869" spans="1:1" ht="12.75" customHeight="1" x14ac:dyDescent="0.15">
      <c r="A869" s="1"/>
    </row>
    <row r="870" spans="1:1" ht="12.75" customHeight="1" x14ac:dyDescent="0.15">
      <c r="A870" s="1"/>
    </row>
    <row r="871" spans="1:1" ht="12.75" customHeight="1" x14ac:dyDescent="0.15">
      <c r="A871" s="1"/>
    </row>
    <row r="872" spans="1:1" ht="12.75" customHeight="1" x14ac:dyDescent="0.15">
      <c r="A872" s="1"/>
    </row>
    <row r="873" spans="1:1" ht="12.75" customHeight="1" x14ac:dyDescent="0.15">
      <c r="A873" s="1"/>
    </row>
    <row r="874" spans="1:1" ht="12.75" customHeight="1" x14ac:dyDescent="0.15">
      <c r="A874" s="1"/>
    </row>
    <row r="875" spans="1:1" ht="12.75" customHeight="1" x14ac:dyDescent="0.15">
      <c r="A875" s="1"/>
    </row>
    <row r="876" spans="1:1" ht="12.75" customHeight="1" x14ac:dyDescent="0.15">
      <c r="A876" s="1"/>
    </row>
    <row r="877" spans="1:1" ht="12.75" customHeight="1" x14ac:dyDescent="0.15">
      <c r="A877" s="1"/>
    </row>
    <row r="878" spans="1:1" ht="12.75" customHeight="1" x14ac:dyDescent="0.15">
      <c r="A878" s="1"/>
    </row>
    <row r="879" spans="1:1" ht="12.75" customHeight="1" x14ac:dyDescent="0.15">
      <c r="A879" s="1"/>
    </row>
    <row r="880" spans="1:1" ht="12.75" customHeight="1" x14ac:dyDescent="0.15">
      <c r="A880" s="1"/>
    </row>
    <row r="881" spans="1:1" ht="12.75" customHeight="1" x14ac:dyDescent="0.15">
      <c r="A881" s="1"/>
    </row>
    <row r="882" spans="1:1" ht="12.75" customHeight="1" x14ac:dyDescent="0.15">
      <c r="A882" s="1"/>
    </row>
    <row r="883" spans="1:1" ht="12.75" customHeight="1" x14ac:dyDescent="0.15">
      <c r="A883" s="1"/>
    </row>
    <row r="884" spans="1:1" ht="12.75" customHeight="1" x14ac:dyDescent="0.15">
      <c r="A884" s="1"/>
    </row>
    <row r="885" spans="1:1" ht="12.75" customHeight="1" x14ac:dyDescent="0.15">
      <c r="A885" s="1"/>
    </row>
    <row r="886" spans="1:1" ht="12.75" customHeight="1" x14ac:dyDescent="0.15">
      <c r="A886" s="1"/>
    </row>
    <row r="887" spans="1:1" ht="12.75" customHeight="1" x14ac:dyDescent="0.15">
      <c r="A887" s="1"/>
    </row>
    <row r="888" spans="1:1" ht="12.75" customHeight="1" x14ac:dyDescent="0.15">
      <c r="A888" s="1"/>
    </row>
    <row r="889" spans="1:1" ht="12.75" customHeight="1" x14ac:dyDescent="0.15">
      <c r="A889" s="1"/>
    </row>
    <row r="890" spans="1:1" ht="12.75" customHeight="1" x14ac:dyDescent="0.15">
      <c r="A890" s="1"/>
    </row>
    <row r="891" spans="1:1" ht="12.75" customHeight="1" x14ac:dyDescent="0.15">
      <c r="A891" s="1"/>
    </row>
    <row r="892" spans="1:1" ht="12.75" customHeight="1" x14ac:dyDescent="0.15">
      <c r="A892" s="1"/>
    </row>
    <row r="893" spans="1:1" ht="12.75" customHeight="1" x14ac:dyDescent="0.15">
      <c r="A893" s="1"/>
    </row>
    <row r="894" spans="1:1" ht="12.75" customHeight="1" x14ac:dyDescent="0.15">
      <c r="A894" s="1"/>
    </row>
    <row r="895" spans="1:1" ht="12.75" customHeight="1" x14ac:dyDescent="0.15">
      <c r="A895" s="1"/>
    </row>
    <row r="896" spans="1:1" ht="12.75" customHeight="1" x14ac:dyDescent="0.15">
      <c r="A896" s="1"/>
    </row>
    <row r="897" spans="1:1" ht="12.75" customHeight="1" x14ac:dyDescent="0.15">
      <c r="A897" s="1"/>
    </row>
    <row r="898" spans="1:1" ht="12.75" customHeight="1" x14ac:dyDescent="0.15">
      <c r="A898" s="1"/>
    </row>
    <row r="899" spans="1:1" ht="12.75" customHeight="1" x14ac:dyDescent="0.15">
      <c r="A899" s="1"/>
    </row>
    <row r="900" spans="1:1" ht="12.75" customHeight="1" x14ac:dyDescent="0.15">
      <c r="A900" s="1"/>
    </row>
    <row r="901" spans="1:1" ht="12.75" customHeight="1" x14ac:dyDescent="0.15">
      <c r="A901" s="1"/>
    </row>
    <row r="902" spans="1:1" ht="12.75" customHeight="1" x14ac:dyDescent="0.15">
      <c r="A902" s="1"/>
    </row>
    <row r="903" spans="1:1" ht="12.75" customHeight="1" x14ac:dyDescent="0.15">
      <c r="A903" s="1"/>
    </row>
    <row r="904" spans="1:1" ht="12.75" customHeight="1" x14ac:dyDescent="0.15">
      <c r="A904" s="1"/>
    </row>
    <row r="905" spans="1:1" ht="12.75" customHeight="1" x14ac:dyDescent="0.15">
      <c r="A905" s="1"/>
    </row>
    <row r="906" spans="1:1" ht="12.75" customHeight="1" x14ac:dyDescent="0.15">
      <c r="A906" s="1"/>
    </row>
    <row r="907" spans="1:1" ht="12.75" customHeight="1" x14ac:dyDescent="0.15">
      <c r="A907" s="1"/>
    </row>
    <row r="908" spans="1:1" ht="12.75" customHeight="1" x14ac:dyDescent="0.15">
      <c r="A908" s="1"/>
    </row>
    <row r="909" spans="1:1" ht="12.75" customHeight="1" x14ac:dyDescent="0.15">
      <c r="A909" s="1"/>
    </row>
    <row r="910" spans="1:1" ht="12.75" customHeight="1" x14ac:dyDescent="0.15">
      <c r="A910" s="1"/>
    </row>
    <row r="911" spans="1:1" ht="12.75" customHeight="1" x14ac:dyDescent="0.15">
      <c r="A911" s="1"/>
    </row>
    <row r="912" spans="1:1" ht="12.75" customHeight="1" x14ac:dyDescent="0.15">
      <c r="A912" s="1"/>
    </row>
    <row r="913" spans="1:1" ht="12.75" customHeight="1" x14ac:dyDescent="0.15">
      <c r="A913" s="1"/>
    </row>
    <row r="914" spans="1:1" ht="12.75" customHeight="1" x14ac:dyDescent="0.15">
      <c r="A914" s="1"/>
    </row>
    <row r="915" spans="1:1" ht="12.75" customHeight="1" x14ac:dyDescent="0.15">
      <c r="A915" s="1"/>
    </row>
    <row r="916" spans="1:1" ht="12.75" customHeight="1" x14ac:dyDescent="0.15">
      <c r="A916" s="1"/>
    </row>
    <row r="917" spans="1:1" ht="12.75" customHeight="1" x14ac:dyDescent="0.15">
      <c r="A917" s="1"/>
    </row>
    <row r="918" spans="1:1" ht="12.75" customHeight="1" x14ac:dyDescent="0.15">
      <c r="A918" s="1"/>
    </row>
    <row r="919" spans="1:1" ht="12.75" customHeight="1" x14ac:dyDescent="0.15">
      <c r="A919" s="1"/>
    </row>
    <row r="920" spans="1:1" ht="12.75" customHeight="1" x14ac:dyDescent="0.15">
      <c r="A920" s="1"/>
    </row>
    <row r="921" spans="1:1" ht="12.75" customHeight="1" x14ac:dyDescent="0.15">
      <c r="A921" s="1"/>
    </row>
    <row r="922" spans="1:1" ht="12.75" customHeight="1" x14ac:dyDescent="0.15">
      <c r="A922" s="1"/>
    </row>
    <row r="923" spans="1:1" ht="12.75" customHeight="1" x14ac:dyDescent="0.15">
      <c r="A923" s="1"/>
    </row>
    <row r="924" spans="1:1" ht="12.75" customHeight="1" x14ac:dyDescent="0.15">
      <c r="A924" s="1"/>
    </row>
    <row r="925" spans="1:1" ht="12.75" customHeight="1" x14ac:dyDescent="0.15">
      <c r="A925" s="1"/>
    </row>
    <row r="926" spans="1:1" ht="12.75" customHeight="1" x14ac:dyDescent="0.15">
      <c r="A926" s="1"/>
    </row>
    <row r="927" spans="1:1" ht="12.75" customHeight="1" x14ac:dyDescent="0.15">
      <c r="A927" s="1"/>
    </row>
    <row r="928" spans="1:1" ht="12.75" customHeight="1" x14ac:dyDescent="0.15">
      <c r="A928" s="1"/>
    </row>
    <row r="929" spans="1:1" ht="12.75" customHeight="1" x14ac:dyDescent="0.15">
      <c r="A929" s="1"/>
    </row>
    <row r="930" spans="1:1" ht="12.75" customHeight="1" x14ac:dyDescent="0.15">
      <c r="A930" s="1"/>
    </row>
    <row r="931" spans="1:1" ht="12.75" customHeight="1" x14ac:dyDescent="0.15">
      <c r="A931" s="1"/>
    </row>
    <row r="932" spans="1:1" ht="12.75" customHeight="1" x14ac:dyDescent="0.15">
      <c r="A932" s="1"/>
    </row>
    <row r="933" spans="1:1" ht="12.75" customHeight="1" x14ac:dyDescent="0.15">
      <c r="A933" s="1"/>
    </row>
    <row r="934" spans="1:1" ht="12.75" customHeight="1" x14ac:dyDescent="0.15">
      <c r="A934" s="1"/>
    </row>
    <row r="935" spans="1:1" ht="12.75" customHeight="1" x14ac:dyDescent="0.15">
      <c r="A935" s="1"/>
    </row>
    <row r="936" spans="1:1" ht="12.75" customHeight="1" x14ac:dyDescent="0.15">
      <c r="A936" s="1"/>
    </row>
    <row r="937" spans="1:1" ht="12.75" customHeight="1" x14ac:dyDescent="0.15">
      <c r="A937" s="1"/>
    </row>
    <row r="938" spans="1:1" ht="12.75" customHeight="1" x14ac:dyDescent="0.15">
      <c r="A938" s="1"/>
    </row>
    <row r="939" spans="1:1" ht="12.75" customHeight="1" x14ac:dyDescent="0.15">
      <c r="A939" s="1"/>
    </row>
    <row r="940" spans="1:1" ht="12.75" customHeight="1" x14ac:dyDescent="0.15">
      <c r="A940" s="1"/>
    </row>
    <row r="941" spans="1:1" ht="12.75" customHeight="1" x14ac:dyDescent="0.15">
      <c r="A941" s="1"/>
    </row>
    <row r="942" spans="1:1" ht="12.75" customHeight="1" x14ac:dyDescent="0.15">
      <c r="A942" s="1"/>
    </row>
    <row r="943" spans="1:1" ht="12.75" customHeight="1" x14ac:dyDescent="0.15">
      <c r="A943" s="1"/>
    </row>
    <row r="944" spans="1:1" ht="12.75" customHeight="1" x14ac:dyDescent="0.15">
      <c r="A944" s="1"/>
    </row>
    <row r="945" spans="1:1" ht="12.75" customHeight="1" x14ac:dyDescent="0.15">
      <c r="A945" s="1"/>
    </row>
    <row r="946" spans="1:1" ht="12.75" customHeight="1" x14ac:dyDescent="0.15">
      <c r="A946" s="1"/>
    </row>
    <row r="947" spans="1:1" ht="12.75" customHeight="1" x14ac:dyDescent="0.15">
      <c r="A947" s="1"/>
    </row>
    <row r="948" spans="1:1" ht="12.75" customHeight="1" x14ac:dyDescent="0.15">
      <c r="A948" s="1"/>
    </row>
    <row r="949" spans="1:1" ht="12.75" customHeight="1" x14ac:dyDescent="0.15">
      <c r="A949" s="1"/>
    </row>
    <row r="950" spans="1:1" ht="12.75" customHeight="1" x14ac:dyDescent="0.15">
      <c r="A950" s="1"/>
    </row>
    <row r="951" spans="1:1" ht="12.75" customHeight="1" x14ac:dyDescent="0.15">
      <c r="A951" s="1"/>
    </row>
    <row r="952" spans="1:1" ht="12.75" customHeight="1" x14ac:dyDescent="0.15">
      <c r="A952" s="1"/>
    </row>
    <row r="953" spans="1:1" ht="12.75" customHeight="1" x14ac:dyDescent="0.15">
      <c r="A953" s="1"/>
    </row>
    <row r="954" spans="1:1" ht="12.75" customHeight="1" x14ac:dyDescent="0.15">
      <c r="A954" s="1"/>
    </row>
    <row r="955" spans="1:1" ht="12.75" customHeight="1" x14ac:dyDescent="0.15">
      <c r="A955" s="1"/>
    </row>
    <row r="956" spans="1:1" ht="12.75" customHeight="1" x14ac:dyDescent="0.15">
      <c r="A956" s="1"/>
    </row>
    <row r="957" spans="1:1" ht="12.75" customHeight="1" x14ac:dyDescent="0.15">
      <c r="A957" s="1"/>
    </row>
    <row r="958" spans="1:1" ht="12.75" customHeight="1" x14ac:dyDescent="0.15">
      <c r="A958" s="1"/>
    </row>
    <row r="959" spans="1:1" ht="12.75" customHeight="1" x14ac:dyDescent="0.15">
      <c r="A959" s="1"/>
    </row>
    <row r="960" spans="1:1" ht="12.75" customHeight="1" x14ac:dyDescent="0.15">
      <c r="A960" s="1"/>
    </row>
    <row r="961" spans="1:1" ht="12.75" customHeight="1" x14ac:dyDescent="0.15">
      <c r="A961" s="1"/>
    </row>
    <row r="962" spans="1:1" ht="12.75" customHeight="1" x14ac:dyDescent="0.15">
      <c r="A962" s="1"/>
    </row>
    <row r="963" spans="1:1" ht="12.75" customHeight="1" x14ac:dyDescent="0.15">
      <c r="A963" s="1"/>
    </row>
    <row r="964" spans="1:1" ht="12.75" customHeight="1" x14ac:dyDescent="0.15">
      <c r="A964" s="1"/>
    </row>
    <row r="965" spans="1:1" ht="12.75" customHeight="1" x14ac:dyDescent="0.15">
      <c r="A965" s="1"/>
    </row>
    <row r="966" spans="1:1" ht="12.75" customHeight="1" x14ac:dyDescent="0.15">
      <c r="A966" s="1"/>
    </row>
    <row r="967" spans="1:1" ht="12.75" customHeight="1" x14ac:dyDescent="0.15">
      <c r="A967" s="1"/>
    </row>
    <row r="968" spans="1:1" ht="12.75" customHeight="1" x14ac:dyDescent="0.15">
      <c r="A968" s="1"/>
    </row>
    <row r="969" spans="1:1" ht="12.75" customHeight="1" x14ac:dyDescent="0.15">
      <c r="A969" s="1"/>
    </row>
    <row r="970" spans="1:1" ht="12.75" customHeight="1" x14ac:dyDescent="0.15">
      <c r="A970" s="1"/>
    </row>
    <row r="971" spans="1:1" ht="12.75" customHeight="1" x14ac:dyDescent="0.15">
      <c r="A971" s="1"/>
    </row>
    <row r="972" spans="1:1" ht="12.75" customHeight="1" x14ac:dyDescent="0.15">
      <c r="A972" s="1"/>
    </row>
    <row r="973" spans="1:1" ht="12.75" customHeight="1" x14ac:dyDescent="0.15">
      <c r="A973" s="1"/>
    </row>
    <row r="974" spans="1:1" ht="12.75" customHeight="1" x14ac:dyDescent="0.15">
      <c r="A974" s="1"/>
    </row>
    <row r="975" spans="1:1" ht="12.75" customHeight="1" x14ac:dyDescent="0.15">
      <c r="A975" s="1"/>
    </row>
    <row r="976" spans="1:1" ht="12.75" customHeight="1" x14ac:dyDescent="0.15">
      <c r="A976" s="1"/>
    </row>
    <row r="977" spans="1:1" ht="12.75" customHeight="1" x14ac:dyDescent="0.15">
      <c r="A977" s="1"/>
    </row>
    <row r="978" spans="1:1" ht="12.75" customHeight="1" x14ac:dyDescent="0.15">
      <c r="A978" s="1"/>
    </row>
    <row r="979" spans="1:1" ht="12.75" customHeight="1" x14ac:dyDescent="0.15">
      <c r="A979" s="1"/>
    </row>
    <row r="980" spans="1:1" ht="12.75" customHeight="1" x14ac:dyDescent="0.15">
      <c r="A980" s="1"/>
    </row>
    <row r="981" spans="1:1" ht="12.75" customHeight="1" x14ac:dyDescent="0.15">
      <c r="A981" s="1"/>
    </row>
    <row r="982" spans="1:1" ht="12.75" customHeight="1" x14ac:dyDescent="0.15">
      <c r="A982" s="1"/>
    </row>
    <row r="983" spans="1:1" ht="12.75" customHeight="1" x14ac:dyDescent="0.15">
      <c r="A983" s="1"/>
    </row>
    <row r="984" spans="1:1" ht="12.75" customHeight="1" x14ac:dyDescent="0.15">
      <c r="A984" s="1"/>
    </row>
    <row r="985" spans="1:1" ht="12.75" customHeight="1" x14ac:dyDescent="0.15">
      <c r="A985" s="1"/>
    </row>
    <row r="986" spans="1:1" ht="12.75" customHeight="1" x14ac:dyDescent="0.15">
      <c r="A986" s="1"/>
    </row>
    <row r="987" spans="1:1" ht="12.75" customHeight="1" x14ac:dyDescent="0.15">
      <c r="A987" s="1"/>
    </row>
    <row r="988" spans="1:1" ht="12.75" customHeight="1" x14ac:dyDescent="0.15">
      <c r="A988" s="1"/>
    </row>
    <row r="989" spans="1:1" ht="12.75" customHeight="1" x14ac:dyDescent="0.15">
      <c r="A989" s="1"/>
    </row>
    <row r="990" spans="1:1" ht="12.75" customHeight="1" x14ac:dyDescent="0.15">
      <c r="A990" s="1"/>
    </row>
    <row r="991" spans="1:1" ht="12.75" customHeight="1" x14ac:dyDescent="0.15">
      <c r="A991" s="1"/>
    </row>
    <row r="992" spans="1:1" ht="12.75" customHeight="1" x14ac:dyDescent="0.15">
      <c r="A992" s="1"/>
    </row>
    <row r="993" spans="1:1" ht="12.75" customHeight="1" x14ac:dyDescent="0.15">
      <c r="A993" s="1"/>
    </row>
    <row r="994" spans="1:1" ht="12.75" customHeight="1" x14ac:dyDescent="0.15">
      <c r="A994" s="1"/>
    </row>
    <row r="995" spans="1:1" ht="12.75" customHeight="1" x14ac:dyDescent="0.15">
      <c r="A995" s="1"/>
    </row>
    <row r="996" spans="1:1" ht="12.75" customHeight="1" x14ac:dyDescent="0.15">
      <c r="A996" s="1"/>
    </row>
    <row r="997" spans="1:1" ht="12.75" customHeight="1" x14ac:dyDescent="0.15">
      <c r="A997" s="1"/>
    </row>
    <row r="998" spans="1:1" ht="12.75" customHeight="1" x14ac:dyDescent="0.15">
      <c r="A998" s="1"/>
    </row>
    <row r="999" spans="1:1" ht="12.75" customHeight="1" x14ac:dyDescent="0.15">
      <c r="A999" s="1"/>
    </row>
    <row r="1000" spans="1:1" ht="12.75" customHeight="1" x14ac:dyDescent="0.15">
      <c r="A1000" s="1"/>
    </row>
  </sheetData>
  <mergeCells count="1">
    <mergeCell ref="E1:H1"/>
  </mergeCells>
  <pageMargins left="0.7" right="0.7" top="0.75" bottom="0.75" header="0" footer="0"/>
  <pageSetup orientation="landscape"/>
  <drawing r:id="rId1"/>
  <legacyDrawing r:id="rId2"/>
</worksheet>
</file>

<file path=docMetadata/LabelInfo.xml><?xml version="1.0" encoding="utf-8"?>
<clbl:labelList xmlns:clbl="http://schemas.microsoft.com/office/2020/mipLabelMetadata">
  <clbl:label id="{080ca090-da8c-4360-a3bc-148c3bd51ef5}" enabled="1" method="Standard" siteId="{ec37a091-b9a6-47e5-98d0-903d4a4192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Theaker</dc:creator>
  <cp:lastModifiedBy>Hammond, Sean</cp:lastModifiedBy>
  <dcterms:created xsi:type="dcterms:W3CDTF">2021-06-05T19:05:10Z</dcterms:created>
  <dcterms:modified xsi:type="dcterms:W3CDTF">2026-07-17T19:23:04Z</dcterms:modified>
</cp:coreProperties>
</file>