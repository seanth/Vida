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ate1904="1"/>
  <mc:AlternateContent xmlns:mc="http://schemas.openxmlformats.org/markup-compatibility/2006">
    <mc:Choice Requires="x15">
      <x15ac:absPath xmlns:x15ac="http://schemas.microsoft.com/office/spreadsheetml/2010/11/ac" url="/Users/seanth/Github/Vida/tools/"/>
    </mc:Choice>
  </mc:AlternateContent>
  <xr:revisionPtr revIDLastSave="0" documentId="13_ncr:9_{6F911004-2DF2-4643-8D5E-0E0F1180B6B9}" xr6:coauthVersionLast="47" xr6:coauthVersionMax="47" xr10:uidLastSave="{00000000-0000-0000-0000-000000000000}"/>
  <bookViews>
    <workbookView xWindow="11340" yWindow="820" windowWidth="23500" windowHeight="18360" tabRatio="904" xr2:uid="{B310FA5A-2063-0844-883E-6380E3B695C3}"/>
  </bookViews>
  <sheets>
    <sheet name="Constants and exponents" sheetId="27" r:id="rId1"/>
    <sheet name="Simulate growth" sheetId="26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6" l="1"/>
  <c r="D3" i="26"/>
  <c r="J3" i="26"/>
  <c r="F3" i="26"/>
  <c r="E3" i="26"/>
  <c r="G3" i="26"/>
  <c r="I3" i="26"/>
  <c r="T3" i="26"/>
  <c r="L3" i="26"/>
  <c r="B4" i="26"/>
  <c r="D4" i="26"/>
  <c r="J4" i="26"/>
  <c r="F4" i="26"/>
  <c r="E4" i="26"/>
  <c r="G4" i="26"/>
  <c r="I4" i="26"/>
  <c r="T4" i="26"/>
  <c r="L4" i="26"/>
  <c r="B5" i="26"/>
  <c r="D5" i="26"/>
  <c r="J5" i="26"/>
  <c r="F5" i="26"/>
  <c r="E5" i="26"/>
  <c r="G5" i="26"/>
  <c r="I5" i="26"/>
  <c r="T5" i="26"/>
  <c r="T2" i="26"/>
  <c r="C2" i="26"/>
  <c r="D2" i="26"/>
  <c r="J2" i="26"/>
  <c r="F2" i="26"/>
  <c r="E2" i="26"/>
  <c r="G2" i="26"/>
  <c r="I2" i="26"/>
  <c r="L2" i="26"/>
  <c r="C3" i="26"/>
  <c r="Q3" i="26"/>
  <c r="R3" i="26"/>
  <c r="C4" i="26"/>
  <c r="Q4" i="26"/>
  <c r="R4" i="26"/>
  <c r="C5" i="26"/>
  <c r="Q5" i="26"/>
  <c r="R5" i="26"/>
  <c r="L5" i="26"/>
  <c r="B6" i="26"/>
  <c r="D6" i="26"/>
  <c r="J6" i="26"/>
  <c r="F6" i="26"/>
  <c r="E6" i="26"/>
  <c r="G6" i="26"/>
  <c r="I6" i="26"/>
  <c r="C6" i="26"/>
  <c r="Q6" i="26"/>
  <c r="R6" i="26"/>
  <c r="L6" i="26"/>
  <c r="B7" i="26"/>
  <c r="D7" i="26"/>
  <c r="J7" i="26"/>
  <c r="F7" i="26"/>
  <c r="E7" i="26"/>
  <c r="G7" i="26"/>
  <c r="I7" i="26"/>
  <c r="C7" i="26"/>
  <c r="Q7" i="26"/>
  <c r="R7" i="26"/>
  <c r="L7" i="26"/>
  <c r="B8" i="26"/>
  <c r="D8" i="26"/>
  <c r="J8" i="26"/>
  <c r="F8" i="26"/>
  <c r="E8" i="26"/>
  <c r="G8" i="26"/>
  <c r="I8" i="26"/>
  <c r="C8" i="26"/>
  <c r="Q8" i="26"/>
  <c r="R8" i="26"/>
  <c r="L8" i="26"/>
  <c r="B9" i="26"/>
  <c r="D9" i="26"/>
  <c r="J9" i="26"/>
  <c r="F9" i="26"/>
  <c r="E9" i="26"/>
  <c r="G9" i="26"/>
  <c r="I9" i="26"/>
  <c r="C9" i="26"/>
  <c r="Q9" i="26"/>
  <c r="R9" i="26"/>
  <c r="L9" i="26"/>
  <c r="B10" i="26"/>
  <c r="D10" i="26"/>
  <c r="J10" i="26"/>
  <c r="F10" i="26"/>
  <c r="E10" i="26"/>
  <c r="G10" i="26"/>
  <c r="I10" i="26"/>
  <c r="C10" i="26"/>
  <c r="Q10" i="26"/>
  <c r="R10" i="26"/>
  <c r="L10" i="26"/>
  <c r="B11" i="26"/>
  <c r="D11" i="26"/>
  <c r="J11" i="26"/>
  <c r="F11" i="26"/>
  <c r="E11" i="26"/>
  <c r="G11" i="26"/>
  <c r="I11" i="26"/>
  <c r="C11" i="26"/>
  <c r="Q11" i="26"/>
  <c r="R11" i="26"/>
  <c r="L11" i="26"/>
  <c r="B12" i="26"/>
  <c r="D12" i="26"/>
  <c r="J12" i="26"/>
  <c r="F12" i="26"/>
  <c r="E12" i="26"/>
  <c r="G12" i="26"/>
  <c r="I12" i="26"/>
  <c r="C12" i="26"/>
  <c r="Q12" i="26"/>
  <c r="R12" i="26"/>
  <c r="L12" i="26"/>
  <c r="B13" i="26"/>
  <c r="D13" i="26"/>
  <c r="J13" i="26"/>
  <c r="F13" i="26"/>
  <c r="E13" i="26"/>
  <c r="G13" i="26"/>
  <c r="I13" i="26"/>
  <c r="C13" i="26"/>
  <c r="Q13" i="26"/>
  <c r="R13" i="26"/>
  <c r="L13" i="26"/>
  <c r="B14" i="26"/>
  <c r="D14" i="26"/>
  <c r="G14" i="26"/>
  <c r="I14" i="26"/>
  <c r="C14" i="26"/>
  <c r="Q14" i="26"/>
  <c r="R14" i="26"/>
  <c r="L14" i="26"/>
  <c r="B15" i="26"/>
  <c r="D15" i="26"/>
  <c r="G15" i="26"/>
  <c r="I15" i="26"/>
  <c r="C15" i="26"/>
  <c r="Q15" i="26"/>
  <c r="R15" i="26"/>
  <c r="L15" i="26"/>
  <c r="B16" i="26"/>
  <c r="D16" i="26"/>
  <c r="G16" i="26"/>
  <c r="I16" i="26"/>
  <c r="C16" i="26"/>
  <c r="Q16" i="26"/>
  <c r="R16" i="26"/>
  <c r="L16" i="26"/>
  <c r="B17" i="26"/>
  <c r="D17" i="26"/>
  <c r="G17" i="26"/>
  <c r="I17" i="26"/>
  <c r="C17" i="26"/>
  <c r="Q17" i="26"/>
  <c r="R17" i="26"/>
  <c r="L17" i="26"/>
  <c r="B18" i="26"/>
  <c r="D18" i="26"/>
  <c r="G18" i="26"/>
  <c r="I18" i="26"/>
  <c r="C18" i="26"/>
  <c r="Q18" i="26"/>
  <c r="R18" i="26"/>
  <c r="L18" i="26"/>
  <c r="B19" i="26"/>
  <c r="D19" i="26"/>
  <c r="G19" i="26"/>
  <c r="I19" i="26"/>
  <c r="C19" i="26"/>
  <c r="Q19" i="26"/>
  <c r="R19" i="26"/>
  <c r="L19" i="26"/>
  <c r="B20" i="26"/>
  <c r="D20" i="26"/>
  <c r="G20" i="26"/>
  <c r="I20" i="26"/>
  <c r="C20" i="26"/>
  <c r="Q20" i="26"/>
  <c r="R20" i="26"/>
  <c r="L20" i="26"/>
  <c r="B21" i="26"/>
  <c r="D21" i="26"/>
  <c r="G21" i="26"/>
  <c r="I21" i="26"/>
  <c r="C21" i="26"/>
  <c r="Q21" i="26"/>
  <c r="R21" i="26"/>
  <c r="L21" i="26"/>
  <c r="B22" i="26"/>
  <c r="D22" i="26"/>
  <c r="G22" i="26"/>
  <c r="I22" i="26"/>
  <c r="C22" i="26"/>
  <c r="Q22" i="26"/>
  <c r="R22" i="26"/>
  <c r="L22" i="26"/>
  <c r="B23" i="26"/>
  <c r="D23" i="26"/>
  <c r="G23" i="26"/>
  <c r="I23" i="26"/>
  <c r="C23" i="26"/>
  <c r="Q23" i="26"/>
  <c r="R23" i="26"/>
  <c r="L23" i="26"/>
  <c r="B24" i="26"/>
  <c r="D24" i="26"/>
  <c r="G24" i="26"/>
  <c r="I24" i="26"/>
  <c r="C24" i="26"/>
  <c r="Q24" i="26"/>
  <c r="R24" i="26"/>
  <c r="L24" i="26"/>
  <c r="B25" i="26"/>
  <c r="D25" i="26"/>
  <c r="G25" i="26"/>
  <c r="I25" i="26"/>
  <c r="C25" i="26"/>
  <c r="Q25" i="26"/>
  <c r="R25" i="26"/>
  <c r="L25" i="26"/>
  <c r="B26" i="26"/>
  <c r="D26" i="26"/>
  <c r="G26" i="26"/>
  <c r="I26" i="26"/>
  <c r="C26" i="26"/>
  <c r="Q26" i="26"/>
  <c r="R26" i="26"/>
  <c r="L26" i="26"/>
  <c r="B27" i="26"/>
  <c r="D27" i="26"/>
  <c r="G27" i="26"/>
  <c r="I27" i="26"/>
  <c r="C27" i="26"/>
  <c r="Q27" i="26"/>
  <c r="R27" i="26"/>
  <c r="L27" i="26"/>
  <c r="B28" i="26"/>
  <c r="D28" i="26"/>
  <c r="G28" i="26"/>
  <c r="I28" i="26"/>
  <c r="C28" i="26"/>
  <c r="Q28" i="26"/>
  <c r="R28" i="26"/>
  <c r="L28" i="26"/>
  <c r="B29" i="26"/>
  <c r="D29" i="26"/>
  <c r="G29" i="26"/>
  <c r="I29" i="26"/>
  <c r="C29" i="26"/>
  <c r="Q29" i="26"/>
  <c r="R29" i="26"/>
  <c r="L29" i="26"/>
  <c r="B30" i="26"/>
  <c r="D30" i="26"/>
  <c r="G30" i="26"/>
  <c r="I30" i="26"/>
  <c r="C30" i="26"/>
  <c r="Q30" i="26"/>
  <c r="R30" i="26"/>
  <c r="L30" i="26"/>
  <c r="B31" i="26"/>
  <c r="D31" i="26"/>
  <c r="G31" i="26"/>
  <c r="I31" i="26"/>
  <c r="C31" i="26"/>
  <c r="Q31" i="26"/>
  <c r="R31" i="26"/>
  <c r="L31" i="26"/>
  <c r="B32" i="26"/>
  <c r="D32" i="26"/>
  <c r="G32" i="26"/>
  <c r="I32" i="26"/>
  <c r="C32" i="26"/>
  <c r="Q32" i="26"/>
  <c r="R32" i="26"/>
  <c r="L32" i="26"/>
  <c r="B33" i="26"/>
  <c r="D33" i="26"/>
  <c r="G33" i="26"/>
  <c r="I33" i="26"/>
  <c r="C33" i="26"/>
  <c r="Q33" i="26"/>
  <c r="R33" i="26"/>
  <c r="L33" i="26"/>
  <c r="B34" i="26"/>
  <c r="D34" i="26"/>
  <c r="G34" i="26"/>
  <c r="I34" i="26"/>
  <c r="C34" i="26"/>
  <c r="Q34" i="26"/>
  <c r="R34" i="26"/>
  <c r="L34" i="26"/>
  <c r="B35" i="26"/>
  <c r="D35" i="26"/>
  <c r="G35" i="26"/>
  <c r="I35" i="26"/>
  <c r="C35" i="26"/>
  <c r="Q35" i="26"/>
  <c r="R35" i="26"/>
  <c r="L35" i="26"/>
  <c r="B36" i="26"/>
  <c r="D36" i="26"/>
  <c r="G36" i="26"/>
  <c r="I36" i="26"/>
  <c r="C36" i="26"/>
  <c r="Q36" i="26"/>
  <c r="R36" i="26"/>
  <c r="L36" i="26"/>
  <c r="B37" i="26"/>
  <c r="D37" i="26"/>
  <c r="G37" i="26"/>
  <c r="I37" i="26"/>
  <c r="C37" i="26"/>
  <c r="Q37" i="26"/>
  <c r="R37" i="26"/>
  <c r="L37" i="26"/>
  <c r="B38" i="26"/>
  <c r="D38" i="26"/>
  <c r="G38" i="26"/>
  <c r="I38" i="26"/>
  <c r="C38" i="26"/>
  <c r="Q38" i="26"/>
  <c r="R38" i="26"/>
  <c r="L38" i="26"/>
  <c r="B39" i="26"/>
  <c r="D39" i="26"/>
  <c r="G39" i="26"/>
  <c r="I39" i="26"/>
  <c r="C39" i="26"/>
  <c r="Q39" i="26"/>
  <c r="R39" i="26"/>
  <c r="L39" i="26"/>
  <c r="B40" i="26"/>
  <c r="D40" i="26"/>
  <c r="G40" i="26"/>
  <c r="I40" i="26"/>
  <c r="C40" i="26"/>
  <c r="Q40" i="26"/>
  <c r="R40" i="26"/>
  <c r="L40" i="26"/>
  <c r="B41" i="26"/>
  <c r="D41" i="26"/>
  <c r="G41" i="26"/>
  <c r="I41" i="26"/>
  <c r="C41" i="26"/>
  <c r="Q41" i="26"/>
  <c r="R41" i="26"/>
  <c r="L41" i="26"/>
  <c r="B42" i="26"/>
  <c r="D42" i="26"/>
  <c r="G42" i="26"/>
  <c r="I42" i="26"/>
  <c r="C42" i="26"/>
  <c r="Q42" i="26"/>
  <c r="R42" i="26"/>
  <c r="L42" i="26"/>
  <c r="B43" i="26"/>
  <c r="D43" i="26"/>
  <c r="G43" i="26"/>
  <c r="I43" i="26"/>
  <c r="C43" i="26"/>
  <c r="Q43" i="26"/>
  <c r="R43" i="26"/>
  <c r="L43" i="26"/>
  <c r="B44" i="26"/>
  <c r="D44" i="26"/>
  <c r="G44" i="26"/>
  <c r="I44" i="26"/>
  <c r="C44" i="26"/>
  <c r="Q44" i="26"/>
  <c r="R44" i="26"/>
  <c r="L44" i="26"/>
  <c r="B45" i="26"/>
  <c r="D45" i="26"/>
  <c r="G45" i="26"/>
  <c r="I45" i="26"/>
  <c r="C45" i="26"/>
  <c r="Q45" i="26"/>
  <c r="R45" i="26"/>
  <c r="L45" i="26"/>
  <c r="B46" i="26"/>
  <c r="D46" i="26"/>
  <c r="G46" i="26"/>
  <c r="I46" i="26"/>
  <c r="C46" i="26"/>
  <c r="Q46" i="26"/>
  <c r="R46" i="26"/>
  <c r="L46" i="26"/>
  <c r="B47" i="26"/>
  <c r="D47" i="26"/>
  <c r="G47" i="26"/>
  <c r="I47" i="26"/>
  <c r="C47" i="26"/>
  <c r="Q47" i="26"/>
  <c r="R47" i="26"/>
  <c r="L47" i="26"/>
  <c r="B48" i="26"/>
  <c r="D48" i="26"/>
  <c r="G48" i="26"/>
  <c r="I48" i="26"/>
  <c r="C48" i="26"/>
  <c r="Q48" i="26"/>
  <c r="R48" i="26"/>
  <c r="L48" i="26"/>
  <c r="B49" i="26"/>
  <c r="D49" i="26"/>
  <c r="G49" i="26"/>
  <c r="I49" i="26"/>
  <c r="C49" i="26"/>
  <c r="Q49" i="26"/>
  <c r="R49" i="26"/>
  <c r="L49" i="26"/>
  <c r="B50" i="26"/>
  <c r="D50" i="26"/>
  <c r="G50" i="26"/>
  <c r="I50" i="26"/>
  <c r="C50" i="26"/>
  <c r="Q50" i="26"/>
  <c r="R50" i="26"/>
  <c r="L50" i="26"/>
  <c r="B51" i="26"/>
  <c r="D51" i="26"/>
  <c r="G51" i="26"/>
  <c r="I51" i="26"/>
  <c r="C51" i="26"/>
  <c r="Q51" i="26"/>
  <c r="R51" i="26"/>
  <c r="L51" i="26"/>
  <c r="B52" i="26"/>
  <c r="D52" i="26"/>
  <c r="G52" i="26"/>
  <c r="I52" i="26"/>
  <c r="C52" i="26"/>
  <c r="Q52" i="26"/>
  <c r="R52" i="26"/>
  <c r="L52" i="26"/>
  <c r="B53" i="26"/>
  <c r="D53" i="26"/>
  <c r="G53" i="26"/>
  <c r="I53" i="26"/>
  <c r="C53" i="26"/>
  <c r="Q53" i="26"/>
  <c r="R53" i="26"/>
  <c r="L53" i="26"/>
  <c r="B54" i="26"/>
  <c r="D54" i="26"/>
  <c r="G54" i="26"/>
  <c r="I54" i="26"/>
  <c r="C54" i="26"/>
  <c r="Q54" i="26"/>
  <c r="R54" i="26"/>
  <c r="L54" i="26"/>
  <c r="B55" i="26"/>
  <c r="D55" i="26"/>
  <c r="G55" i="26"/>
  <c r="I55" i="26"/>
  <c r="C55" i="26"/>
  <c r="Q55" i="26"/>
  <c r="R55" i="26"/>
  <c r="L55" i="26"/>
  <c r="B56" i="26"/>
  <c r="D56" i="26"/>
  <c r="G56" i="26"/>
  <c r="I56" i="26"/>
  <c r="C56" i="26"/>
  <c r="Q56" i="26"/>
  <c r="R56" i="26"/>
  <c r="L56" i="26"/>
  <c r="B57" i="26"/>
  <c r="D57" i="26"/>
  <c r="G57" i="26"/>
  <c r="I57" i="26"/>
  <c r="C57" i="26"/>
  <c r="Q57" i="26"/>
  <c r="R57" i="26"/>
  <c r="L57" i="26"/>
  <c r="B58" i="26"/>
  <c r="D58" i="26"/>
  <c r="G58" i="26"/>
  <c r="I58" i="26"/>
  <c r="C58" i="26"/>
  <c r="Q58" i="26"/>
  <c r="R58" i="26"/>
  <c r="L58" i="26"/>
  <c r="B59" i="26"/>
  <c r="D59" i="26"/>
  <c r="G59" i="26"/>
  <c r="I59" i="26"/>
  <c r="C59" i="26"/>
  <c r="Q59" i="26"/>
  <c r="R59" i="26"/>
  <c r="L59" i="26"/>
  <c r="B60" i="26"/>
  <c r="D60" i="26"/>
  <c r="G60" i="26"/>
  <c r="I60" i="26"/>
  <c r="C60" i="26"/>
  <c r="Q60" i="26"/>
  <c r="R60" i="26"/>
  <c r="L60" i="26"/>
  <c r="B61" i="26"/>
  <c r="D61" i="26"/>
  <c r="G61" i="26"/>
  <c r="I61" i="26"/>
  <c r="C61" i="26"/>
  <c r="Q61" i="26"/>
  <c r="R61" i="26"/>
  <c r="L61" i="26"/>
  <c r="B62" i="26"/>
  <c r="D62" i="26"/>
  <c r="G62" i="26"/>
  <c r="I62" i="26"/>
  <c r="C62" i="26"/>
  <c r="Q62" i="26"/>
  <c r="R62" i="26"/>
  <c r="L62" i="26"/>
  <c r="B63" i="26"/>
  <c r="D63" i="26"/>
  <c r="G63" i="26"/>
  <c r="I63" i="26"/>
  <c r="C63" i="26"/>
  <c r="Q63" i="26"/>
  <c r="R63" i="26"/>
  <c r="L63" i="26"/>
  <c r="B64" i="26"/>
  <c r="D64" i="26"/>
  <c r="G64" i="26"/>
  <c r="I64" i="26"/>
  <c r="C64" i="26"/>
  <c r="Q64" i="26"/>
  <c r="R64" i="26"/>
  <c r="L64" i="26"/>
  <c r="B65" i="26"/>
  <c r="D65" i="26"/>
  <c r="G65" i="26"/>
  <c r="I65" i="26"/>
  <c r="C65" i="26"/>
  <c r="Q65" i="26"/>
  <c r="R65" i="26"/>
  <c r="L65" i="26"/>
  <c r="B66" i="26"/>
  <c r="D66" i="26"/>
  <c r="G66" i="26"/>
  <c r="I66" i="26"/>
  <c r="C66" i="26"/>
  <c r="Q66" i="26"/>
  <c r="R66" i="26"/>
  <c r="L66" i="26"/>
  <c r="B67" i="26"/>
  <c r="D67" i="26"/>
  <c r="G67" i="26"/>
  <c r="I67" i="26"/>
  <c r="C67" i="26"/>
  <c r="Q67" i="26"/>
  <c r="R67" i="26"/>
  <c r="L67" i="26"/>
  <c r="B68" i="26"/>
  <c r="D68" i="26"/>
  <c r="G68" i="26"/>
  <c r="I68" i="26"/>
  <c r="C68" i="26"/>
  <c r="Q68" i="26"/>
  <c r="R68" i="26"/>
  <c r="L68" i="26"/>
  <c r="B69" i="26"/>
  <c r="D69" i="26"/>
  <c r="G69" i="26"/>
  <c r="I69" i="26"/>
  <c r="C69" i="26"/>
  <c r="Q69" i="26"/>
  <c r="R69" i="26"/>
  <c r="L69" i="26"/>
  <c r="B70" i="26"/>
  <c r="D70" i="26"/>
  <c r="G70" i="26"/>
  <c r="I70" i="26"/>
  <c r="C70" i="26"/>
  <c r="Q70" i="26"/>
  <c r="R70" i="26"/>
  <c r="L70" i="26"/>
  <c r="B71" i="26"/>
  <c r="D71" i="26"/>
  <c r="G71" i="26"/>
  <c r="I71" i="26"/>
  <c r="C71" i="26"/>
  <c r="Q71" i="26"/>
  <c r="R71" i="26"/>
  <c r="L71" i="26"/>
  <c r="B72" i="26"/>
  <c r="D72" i="26"/>
  <c r="G72" i="26"/>
  <c r="I72" i="26"/>
  <c r="C72" i="26"/>
  <c r="Q72" i="26"/>
  <c r="R72" i="26"/>
  <c r="L72" i="26"/>
  <c r="B73" i="26"/>
  <c r="D73" i="26"/>
  <c r="G73" i="26"/>
  <c r="I73" i="26"/>
  <c r="C73" i="26"/>
  <c r="Q73" i="26"/>
  <c r="R73" i="26"/>
  <c r="L73" i="26"/>
  <c r="B74" i="26"/>
  <c r="D74" i="26"/>
  <c r="G74" i="26"/>
  <c r="I74" i="26"/>
  <c r="C74" i="26"/>
  <c r="Q74" i="26"/>
  <c r="R74" i="26"/>
  <c r="L74" i="26"/>
  <c r="B75" i="26"/>
  <c r="D75" i="26"/>
  <c r="G75" i="26"/>
  <c r="I75" i="26"/>
  <c r="C75" i="26"/>
  <c r="Q75" i="26"/>
  <c r="R75" i="26"/>
  <c r="L75" i="26"/>
  <c r="B76" i="26"/>
  <c r="D76" i="26"/>
  <c r="G76" i="26"/>
  <c r="I76" i="26"/>
  <c r="C76" i="26"/>
  <c r="Q76" i="26"/>
  <c r="R76" i="26"/>
  <c r="L76" i="26"/>
  <c r="B77" i="26"/>
  <c r="D77" i="26"/>
  <c r="G77" i="26"/>
  <c r="I77" i="26"/>
  <c r="C77" i="26"/>
  <c r="Q77" i="26"/>
  <c r="R77" i="26"/>
  <c r="L77" i="26"/>
  <c r="B78" i="26"/>
  <c r="D78" i="26"/>
  <c r="G78" i="26"/>
  <c r="I78" i="26"/>
  <c r="C78" i="26"/>
  <c r="Q78" i="26"/>
  <c r="R78" i="26"/>
  <c r="L78" i="26"/>
  <c r="B79" i="26"/>
  <c r="D79" i="26"/>
  <c r="G79" i="26"/>
  <c r="I79" i="26"/>
  <c r="C79" i="26"/>
  <c r="Q79" i="26"/>
  <c r="R79" i="26"/>
  <c r="L79" i="26"/>
  <c r="B80" i="26"/>
  <c r="D80" i="26"/>
  <c r="G80" i="26"/>
  <c r="I80" i="26"/>
  <c r="C80" i="26"/>
  <c r="Q80" i="26"/>
  <c r="R80" i="26"/>
  <c r="L80" i="26"/>
  <c r="B81" i="26"/>
  <c r="D81" i="26"/>
  <c r="G81" i="26"/>
  <c r="I81" i="26"/>
  <c r="C81" i="26"/>
  <c r="Q81" i="26"/>
  <c r="R81" i="26"/>
  <c r="L81" i="26"/>
  <c r="B82" i="26"/>
  <c r="D82" i="26"/>
  <c r="G82" i="26"/>
  <c r="I82" i="26"/>
  <c r="C82" i="26"/>
  <c r="Q82" i="26"/>
  <c r="R82" i="26"/>
  <c r="L82" i="26"/>
  <c r="B83" i="26"/>
  <c r="D83" i="26"/>
  <c r="G83" i="26"/>
  <c r="I83" i="26"/>
  <c r="C83" i="26"/>
  <c r="Q83" i="26"/>
  <c r="R83" i="26"/>
  <c r="L83" i="26"/>
  <c r="B84" i="26"/>
  <c r="D84" i="26"/>
  <c r="G84" i="26"/>
  <c r="I84" i="26"/>
  <c r="C84" i="26"/>
  <c r="Q84" i="26"/>
  <c r="R84" i="26"/>
  <c r="L84" i="26"/>
  <c r="B85" i="26"/>
  <c r="D85" i="26"/>
  <c r="G85" i="26"/>
  <c r="I85" i="26"/>
  <c r="C85" i="26"/>
  <c r="Q85" i="26"/>
  <c r="R85" i="26"/>
  <c r="L85" i="26"/>
  <c r="B86" i="26"/>
  <c r="D86" i="26"/>
  <c r="G86" i="26"/>
  <c r="I86" i="26"/>
  <c r="C86" i="26"/>
  <c r="Q86" i="26"/>
  <c r="R86" i="26"/>
  <c r="L86" i="26"/>
  <c r="B87" i="26"/>
  <c r="D87" i="26"/>
  <c r="G87" i="26"/>
  <c r="I87" i="26"/>
  <c r="C87" i="26"/>
  <c r="Q87" i="26"/>
  <c r="R87" i="26"/>
  <c r="L87" i="26"/>
  <c r="B88" i="26"/>
  <c r="D88" i="26"/>
  <c r="G88" i="26"/>
  <c r="I88" i="26"/>
  <c r="C88" i="26"/>
  <c r="Q88" i="26"/>
  <c r="R88" i="26"/>
  <c r="L88" i="26"/>
  <c r="B89" i="26"/>
  <c r="D89" i="26"/>
  <c r="G89" i="26"/>
  <c r="I89" i="26"/>
  <c r="C89" i="26"/>
  <c r="Q89" i="26"/>
  <c r="R89" i="26"/>
  <c r="L89" i="26"/>
  <c r="B90" i="26"/>
  <c r="D90" i="26"/>
  <c r="G90" i="26"/>
  <c r="I90" i="26"/>
  <c r="C90" i="26"/>
  <c r="Q90" i="26"/>
  <c r="R90" i="26"/>
  <c r="L90" i="26"/>
  <c r="B91" i="26"/>
  <c r="D91" i="26"/>
  <c r="G91" i="26"/>
  <c r="I91" i="26"/>
  <c r="C91" i="26"/>
  <c r="Q91" i="26"/>
  <c r="R91" i="26"/>
  <c r="L91" i="26"/>
  <c r="B92" i="26"/>
  <c r="D92" i="26"/>
  <c r="G92" i="26"/>
  <c r="I92" i="26"/>
  <c r="C92" i="26"/>
  <c r="Q92" i="26"/>
  <c r="R92" i="26"/>
  <c r="L92" i="26"/>
  <c r="B93" i="26"/>
  <c r="D93" i="26"/>
  <c r="G93" i="26"/>
  <c r="I93" i="26"/>
  <c r="C93" i="26"/>
  <c r="Q93" i="26"/>
  <c r="R93" i="26"/>
  <c r="L93" i="26"/>
  <c r="B94" i="26"/>
  <c r="D94" i="26"/>
  <c r="G94" i="26"/>
  <c r="I94" i="26"/>
  <c r="C94" i="26"/>
  <c r="Q94" i="26"/>
  <c r="R94" i="26"/>
  <c r="L94" i="26"/>
  <c r="B95" i="26"/>
  <c r="D95" i="26"/>
  <c r="G95" i="26"/>
  <c r="I95" i="26"/>
  <c r="C95" i="26"/>
  <c r="Q95" i="26"/>
  <c r="R95" i="26"/>
  <c r="L95" i="26"/>
  <c r="B96" i="26"/>
  <c r="D96" i="26"/>
  <c r="G96" i="26"/>
  <c r="I96" i="26"/>
  <c r="C96" i="26"/>
  <c r="Q96" i="26"/>
  <c r="R96" i="26"/>
  <c r="L96" i="26"/>
  <c r="B97" i="26"/>
  <c r="D97" i="26"/>
  <c r="G97" i="26"/>
  <c r="I97" i="26"/>
  <c r="C97" i="26"/>
  <c r="Q97" i="26"/>
  <c r="R97" i="26"/>
  <c r="L97" i="26"/>
  <c r="B98" i="26"/>
  <c r="D98" i="26"/>
  <c r="G98" i="26"/>
  <c r="I98" i="26"/>
  <c r="C98" i="26"/>
  <c r="Q98" i="26"/>
  <c r="R98" i="26"/>
  <c r="L98" i="26"/>
  <c r="B99" i="26"/>
  <c r="D99" i="26"/>
  <c r="G99" i="26"/>
  <c r="I99" i="26"/>
  <c r="C99" i="26"/>
  <c r="Q99" i="26"/>
  <c r="R99" i="26"/>
  <c r="L99" i="26"/>
  <c r="B100" i="26"/>
  <c r="D100" i="26"/>
  <c r="G100" i="26"/>
  <c r="I100" i="26"/>
  <c r="C100" i="26"/>
  <c r="Q100" i="26"/>
  <c r="R100" i="26"/>
  <c r="L100" i="26"/>
  <c r="B101" i="26"/>
  <c r="D101" i="26"/>
  <c r="G101" i="26"/>
  <c r="I101" i="26"/>
  <c r="C101" i="26"/>
  <c r="Q101" i="26"/>
  <c r="R101" i="26"/>
  <c r="Q2" i="26"/>
  <c r="R2" i="26"/>
  <c r="K44" i="27"/>
  <c r="H4" i="26"/>
  <c r="M4" i="26"/>
  <c r="N4" i="26"/>
  <c r="H5" i="26"/>
  <c r="M5" i="26"/>
  <c r="N5" i="26"/>
  <c r="H6" i="26"/>
  <c r="M6" i="26"/>
  <c r="N6" i="26"/>
  <c r="H7" i="26"/>
  <c r="M7" i="26"/>
  <c r="N7" i="26"/>
  <c r="H8" i="26"/>
  <c r="M8" i="26"/>
  <c r="N8" i="26"/>
  <c r="H9" i="26"/>
  <c r="M9" i="26"/>
  <c r="N9" i="26"/>
  <c r="H10" i="26"/>
  <c r="M10" i="26"/>
  <c r="N10" i="26"/>
  <c r="H11" i="26"/>
  <c r="M11" i="26"/>
  <c r="N11" i="26"/>
  <c r="H12" i="26"/>
  <c r="M12" i="26"/>
  <c r="N12" i="26"/>
  <c r="H13" i="26"/>
  <c r="M13" i="26"/>
  <c r="N13" i="26"/>
  <c r="J14" i="26"/>
  <c r="F14" i="26"/>
  <c r="H14" i="26"/>
  <c r="M14" i="26"/>
  <c r="N14" i="26"/>
  <c r="J15" i="26"/>
  <c r="F15" i="26"/>
  <c r="H15" i="26"/>
  <c r="M15" i="26"/>
  <c r="N15" i="26"/>
  <c r="J16" i="26"/>
  <c r="F16" i="26"/>
  <c r="H16" i="26"/>
  <c r="M16" i="26"/>
  <c r="N16" i="26"/>
  <c r="J17" i="26"/>
  <c r="F17" i="26"/>
  <c r="H17" i="26"/>
  <c r="M17" i="26"/>
  <c r="N17" i="26"/>
  <c r="J18" i="26"/>
  <c r="F18" i="26"/>
  <c r="H18" i="26"/>
  <c r="M18" i="26"/>
  <c r="N18" i="26"/>
  <c r="J19" i="26"/>
  <c r="F19" i="26"/>
  <c r="H19" i="26"/>
  <c r="M19" i="26"/>
  <c r="N19" i="26"/>
  <c r="J20" i="26"/>
  <c r="F20" i="26"/>
  <c r="H20" i="26"/>
  <c r="M20" i="26"/>
  <c r="N20" i="26"/>
  <c r="J21" i="26"/>
  <c r="F21" i="26"/>
  <c r="H21" i="26"/>
  <c r="M21" i="26"/>
  <c r="N21" i="26"/>
  <c r="J22" i="26"/>
  <c r="F22" i="26"/>
  <c r="H22" i="26"/>
  <c r="M22" i="26"/>
  <c r="N22" i="26"/>
  <c r="J23" i="26"/>
  <c r="F23" i="26"/>
  <c r="H23" i="26"/>
  <c r="M23" i="26"/>
  <c r="N23" i="26"/>
  <c r="J24" i="26"/>
  <c r="F24" i="26"/>
  <c r="H24" i="26"/>
  <c r="M24" i="26"/>
  <c r="N24" i="26"/>
  <c r="J25" i="26"/>
  <c r="F25" i="26"/>
  <c r="H25" i="26"/>
  <c r="M25" i="26"/>
  <c r="N25" i="26"/>
  <c r="J26" i="26"/>
  <c r="F26" i="26"/>
  <c r="H26" i="26"/>
  <c r="M26" i="26"/>
  <c r="N26" i="26"/>
  <c r="J27" i="26"/>
  <c r="F27" i="26"/>
  <c r="H27" i="26"/>
  <c r="M27" i="26"/>
  <c r="N27" i="26"/>
  <c r="J28" i="26"/>
  <c r="F28" i="26"/>
  <c r="H28" i="26"/>
  <c r="M28" i="26"/>
  <c r="N28" i="26"/>
  <c r="J29" i="26"/>
  <c r="F29" i="26"/>
  <c r="H29" i="26"/>
  <c r="M29" i="26"/>
  <c r="N29" i="26"/>
  <c r="J30" i="26"/>
  <c r="F30" i="26"/>
  <c r="H30" i="26"/>
  <c r="M30" i="26"/>
  <c r="N30" i="26"/>
  <c r="J31" i="26"/>
  <c r="F31" i="26"/>
  <c r="H31" i="26"/>
  <c r="M31" i="26"/>
  <c r="N31" i="26"/>
  <c r="J32" i="26"/>
  <c r="F32" i="26"/>
  <c r="H32" i="26"/>
  <c r="M32" i="26"/>
  <c r="N32" i="26"/>
  <c r="J33" i="26"/>
  <c r="F33" i="26"/>
  <c r="H33" i="26"/>
  <c r="M33" i="26"/>
  <c r="N33" i="26"/>
  <c r="J34" i="26"/>
  <c r="F34" i="26"/>
  <c r="H34" i="26"/>
  <c r="M34" i="26"/>
  <c r="N34" i="26"/>
  <c r="J35" i="26"/>
  <c r="F35" i="26"/>
  <c r="H35" i="26"/>
  <c r="M35" i="26"/>
  <c r="N35" i="26"/>
  <c r="J36" i="26"/>
  <c r="F36" i="26"/>
  <c r="H36" i="26"/>
  <c r="M36" i="26"/>
  <c r="N36" i="26"/>
  <c r="J37" i="26"/>
  <c r="F37" i="26"/>
  <c r="H37" i="26"/>
  <c r="M37" i="26"/>
  <c r="N37" i="26"/>
  <c r="J38" i="26"/>
  <c r="F38" i="26"/>
  <c r="H38" i="26"/>
  <c r="M38" i="26"/>
  <c r="N38" i="26"/>
  <c r="J39" i="26"/>
  <c r="F39" i="26"/>
  <c r="H39" i="26"/>
  <c r="M39" i="26"/>
  <c r="N39" i="26"/>
  <c r="J40" i="26"/>
  <c r="F40" i="26"/>
  <c r="H40" i="26"/>
  <c r="M40" i="26"/>
  <c r="N40" i="26"/>
  <c r="J41" i="26"/>
  <c r="F41" i="26"/>
  <c r="H41" i="26"/>
  <c r="M41" i="26"/>
  <c r="N41" i="26"/>
  <c r="J42" i="26"/>
  <c r="F42" i="26"/>
  <c r="H42" i="26"/>
  <c r="M42" i="26"/>
  <c r="N42" i="26"/>
  <c r="J43" i="26"/>
  <c r="F43" i="26"/>
  <c r="H43" i="26"/>
  <c r="M43" i="26"/>
  <c r="N43" i="26"/>
  <c r="J44" i="26"/>
  <c r="F44" i="26"/>
  <c r="H44" i="26"/>
  <c r="M44" i="26"/>
  <c r="N44" i="26"/>
  <c r="J45" i="26"/>
  <c r="F45" i="26"/>
  <c r="H45" i="26"/>
  <c r="M45" i="26"/>
  <c r="N45" i="26"/>
  <c r="J46" i="26"/>
  <c r="F46" i="26"/>
  <c r="H46" i="26"/>
  <c r="M46" i="26"/>
  <c r="N46" i="26"/>
  <c r="J47" i="26"/>
  <c r="F47" i="26"/>
  <c r="H47" i="26"/>
  <c r="M47" i="26"/>
  <c r="N47" i="26"/>
  <c r="J48" i="26"/>
  <c r="F48" i="26"/>
  <c r="H48" i="26"/>
  <c r="M48" i="26"/>
  <c r="N48" i="26"/>
  <c r="J49" i="26"/>
  <c r="F49" i="26"/>
  <c r="H49" i="26"/>
  <c r="M49" i="26"/>
  <c r="N49" i="26"/>
  <c r="J50" i="26"/>
  <c r="F50" i="26"/>
  <c r="H50" i="26"/>
  <c r="M50" i="26"/>
  <c r="N50" i="26"/>
  <c r="J51" i="26"/>
  <c r="F51" i="26"/>
  <c r="H51" i="26"/>
  <c r="M51" i="26"/>
  <c r="N51" i="26"/>
  <c r="J52" i="26"/>
  <c r="F52" i="26"/>
  <c r="H52" i="26"/>
  <c r="M52" i="26"/>
  <c r="N52" i="26"/>
  <c r="J53" i="26"/>
  <c r="F53" i="26"/>
  <c r="H53" i="26"/>
  <c r="M53" i="26"/>
  <c r="N53" i="26"/>
  <c r="J54" i="26"/>
  <c r="F54" i="26"/>
  <c r="H54" i="26"/>
  <c r="M54" i="26"/>
  <c r="N54" i="26"/>
  <c r="J55" i="26"/>
  <c r="F55" i="26"/>
  <c r="H55" i="26"/>
  <c r="M55" i="26"/>
  <c r="N55" i="26"/>
  <c r="J56" i="26"/>
  <c r="F56" i="26"/>
  <c r="H56" i="26"/>
  <c r="M56" i="26"/>
  <c r="N56" i="26"/>
  <c r="J57" i="26"/>
  <c r="F57" i="26"/>
  <c r="H57" i="26"/>
  <c r="M57" i="26"/>
  <c r="N57" i="26"/>
  <c r="J58" i="26"/>
  <c r="F58" i="26"/>
  <c r="H58" i="26"/>
  <c r="M58" i="26"/>
  <c r="N58" i="26"/>
  <c r="J59" i="26"/>
  <c r="F59" i="26"/>
  <c r="H59" i="26"/>
  <c r="M59" i="26"/>
  <c r="N59" i="26"/>
  <c r="J60" i="26"/>
  <c r="F60" i="26"/>
  <c r="H60" i="26"/>
  <c r="M60" i="26"/>
  <c r="N60" i="26"/>
  <c r="J61" i="26"/>
  <c r="F61" i="26"/>
  <c r="H61" i="26"/>
  <c r="M61" i="26"/>
  <c r="N61" i="26"/>
  <c r="J62" i="26"/>
  <c r="F62" i="26"/>
  <c r="H62" i="26"/>
  <c r="M62" i="26"/>
  <c r="N62" i="26"/>
  <c r="J63" i="26"/>
  <c r="F63" i="26"/>
  <c r="H63" i="26"/>
  <c r="M63" i="26"/>
  <c r="N63" i="26"/>
  <c r="J64" i="26"/>
  <c r="F64" i="26"/>
  <c r="H64" i="26"/>
  <c r="M64" i="26"/>
  <c r="N64" i="26"/>
  <c r="J65" i="26"/>
  <c r="F65" i="26"/>
  <c r="H65" i="26"/>
  <c r="M65" i="26"/>
  <c r="N65" i="26"/>
  <c r="J66" i="26"/>
  <c r="F66" i="26"/>
  <c r="H66" i="26"/>
  <c r="M66" i="26"/>
  <c r="N66" i="26"/>
  <c r="J67" i="26"/>
  <c r="F67" i="26"/>
  <c r="H67" i="26"/>
  <c r="M67" i="26"/>
  <c r="N67" i="26"/>
  <c r="J68" i="26"/>
  <c r="F68" i="26"/>
  <c r="H68" i="26"/>
  <c r="M68" i="26"/>
  <c r="N68" i="26"/>
  <c r="J69" i="26"/>
  <c r="F69" i="26"/>
  <c r="H69" i="26"/>
  <c r="M69" i="26"/>
  <c r="N69" i="26"/>
  <c r="J70" i="26"/>
  <c r="F70" i="26"/>
  <c r="H70" i="26"/>
  <c r="M70" i="26"/>
  <c r="N70" i="26"/>
  <c r="J71" i="26"/>
  <c r="F71" i="26"/>
  <c r="H71" i="26"/>
  <c r="M71" i="26"/>
  <c r="N71" i="26"/>
  <c r="J72" i="26"/>
  <c r="F72" i="26"/>
  <c r="H72" i="26"/>
  <c r="M72" i="26"/>
  <c r="N72" i="26"/>
  <c r="J73" i="26"/>
  <c r="F73" i="26"/>
  <c r="H73" i="26"/>
  <c r="M73" i="26"/>
  <c r="N73" i="26"/>
  <c r="J74" i="26"/>
  <c r="F74" i="26"/>
  <c r="H74" i="26"/>
  <c r="M74" i="26"/>
  <c r="N74" i="26"/>
  <c r="J75" i="26"/>
  <c r="F75" i="26"/>
  <c r="H75" i="26"/>
  <c r="M75" i="26"/>
  <c r="N75" i="26"/>
  <c r="J76" i="26"/>
  <c r="F76" i="26"/>
  <c r="H76" i="26"/>
  <c r="M76" i="26"/>
  <c r="N76" i="26"/>
  <c r="J77" i="26"/>
  <c r="F77" i="26"/>
  <c r="H77" i="26"/>
  <c r="M77" i="26"/>
  <c r="N77" i="26"/>
  <c r="J78" i="26"/>
  <c r="F78" i="26"/>
  <c r="H78" i="26"/>
  <c r="M78" i="26"/>
  <c r="N78" i="26"/>
  <c r="J79" i="26"/>
  <c r="F79" i="26"/>
  <c r="H79" i="26"/>
  <c r="M79" i="26"/>
  <c r="N79" i="26"/>
  <c r="J80" i="26"/>
  <c r="F80" i="26"/>
  <c r="H80" i="26"/>
  <c r="M80" i="26"/>
  <c r="N80" i="26"/>
  <c r="J81" i="26"/>
  <c r="F81" i="26"/>
  <c r="H81" i="26"/>
  <c r="M81" i="26"/>
  <c r="N81" i="26"/>
  <c r="J82" i="26"/>
  <c r="F82" i="26"/>
  <c r="H82" i="26"/>
  <c r="M82" i="26"/>
  <c r="N82" i="26"/>
  <c r="J83" i="26"/>
  <c r="F83" i="26"/>
  <c r="H83" i="26"/>
  <c r="M83" i="26"/>
  <c r="N83" i="26"/>
  <c r="J84" i="26"/>
  <c r="F84" i="26"/>
  <c r="H84" i="26"/>
  <c r="M84" i="26"/>
  <c r="N84" i="26"/>
  <c r="J85" i="26"/>
  <c r="F85" i="26"/>
  <c r="H85" i="26"/>
  <c r="M85" i="26"/>
  <c r="N85" i="26"/>
  <c r="J86" i="26"/>
  <c r="F86" i="26"/>
  <c r="H86" i="26"/>
  <c r="M86" i="26"/>
  <c r="N86" i="26"/>
  <c r="J87" i="26"/>
  <c r="F87" i="26"/>
  <c r="H87" i="26"/>
  <c r="M87" i="26"/>
  <c r="N87" i="26"/>
  <c r="J88" i="26"/>
  <c r="F88" i="26"/>
  <c r="H88" i="26"/>
  <c r="M88" i="26"/>
  <c r="N88" i="26"/>
  <c r="J89" i="26"/>
  <c r="F89" i="26"/>
  <c r="H89" i="26"/>
  <c r="M89" i="26"/>
  <c r="N89" i="26"/>
  <c r="J90" i="26"/>
  <c r="F90" i="26"/>
  <c r="H90" i="26"/>
  <c r="M90" i="26"/>
  <c r="N90" i="26"/>
  <c r="J91" i="26"/>
  <c r="F91" i="26"/>
  <c r="H91" i="26"/>
  <c r="M91" i="26"/>
  <c r="N91" i="26"/>
  <c r="J92" i="26"/>
  <c r="F92" i="26"/>
  <c r="H92" i="26"/>
  <c r="M92" i="26"/>
  <c r="N92" i="26"/>
  <c r="J93" i="26"/>
  <c r="F93" i="26"/>
  <c r="H93" i="26"/>
  <c r="M93" i="26"/>
  <c r="N93" i="26"/>
  <c r="J94" i="26"/>
  <c r="F94" i="26"/>
  <c r="H94" i="26"/>
  <c r="M94" i="26"/>
  <c r="N94" i="26"/>
  <c r="J95" i="26"/>
  <c r="F95" i="26"/>
  <c r="H95" i="26"/>
  <c r="M95" i="26"/>
  <c r="N95" i="26"/>
  <c r="J96" i="26"/>
  <c r="F96" i="26"/>
  <c r="H96" i="26"/>
  <c r="M96" i="26"/>
  <c r="N96" i="26"/>
  <c r="J97" i="26"/>
  <c r="F97" i="26"/>
  <c r="H97" i="26"/>
  <c r="M97" i="26"/>
  <c r="N97" i="26"/>
  <c r="J98" i="26"/>
  <c r="F98" i="26"/>
  <c r="H98" i="26"/>
  <c r="M98" i="26"/>
  <c r="N98" i="26"/>
  <c r="J99" i="26"/>
  <c r="F99" i="26"/>
  <c r="H99" i="26"/>
  <c r="M99" i="26"/>
  <c r="N99" i="26"/>
  <c r="J100" i="26"/>
  <c r="F100" i="26"/>
  <c r="H100" i="26"/>
  <c r="M100" i="26"/>
  <c r="N100" i="26"/>
  <c r="J101" i="26"/>
  <c r="F101" i="26"/>
  <c r="H101" i="26"/>
  <c r="M101" i="26"/>
  <c r="N101" i="26"/>
  <c r="H2" i="26"/>
  <c r="M2" i="26"/>
  <c r="N2" i="26"/>
  <c r="H3" i="26"/>
  <c r="M3" i="26"/>
  <c r="N3" i="26"/>
  <c r="K43" i="27"/>
  <c r="E14" i="26"/>
  <c r="E15" i="26"/>
  <c r="E16" i="26"/>
  <c r="E17" i="26"/>
  <c r="E18" i="26"/>
  <c r="E19" i="26"/>
  <c r="E20" i="26"/>
  <c r="E21" i="26"/>
  <c r="E22" i="26"/>
  <c r="E23" i="26"/>
  <c r="A3" i="26"/>
  <c r="A4" i="26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K2" i="26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E24" i="26"/>
  <c r="K24" i="26"/>
  <c r="E25" i="26"/>
  <c r="K25" i="26"/>
  <c r="E26" i="26"/>
  <c r="K26" i="26"/>
  <c r="E27" i="26"/>
  <c r="K27" i="26"/>
  <c r="E28" i="26"/>
  <c r="K28" i="26"/>
  <c r="E29" i="26"/>
  <c r="K29" i="26"/>
  <c r="E30" i="26"/>
  <c r="K30" i="26"/>
  <c r="E31" i="26"/>
  <c r="K31" i="26"/>
  <c r="E32" i="26"/>
  <c r="K32" i="26"/>
  <c r="E33" i="26"/>
  <c r="K33" i="26"/>
  <c r="E34" i="26"/>
  <c r="K34" i="26"/>
  <c r="E35" i="26"/>
  <c r="K35" i="26"/>
  <c r="E36" i="26"/>
  <c r="K36" i="26"/>
  <c r="E37" i="26"/>
  <c r="K37" i="26"/>
  <c r="E38" i="26"/>
  <c r="K38" i="26"/>
  <c r="E39" i="26"/>
  <c r="K39" i="26"/>
  <c r="E40" i="26"/>
  <c r="K40" i="26"/>
  <c r="E41" i="26"/>
  <c r="K41" i="26"/>
  <c r="E42" i="26"/>
  <c r="K42" i="26"/>
  <c r="E43" i="26"/>
  <c r="K43" i="26"/>
  <c r="E44" i="26"/>
  <c r="K44" i="26"/>
  <c r="E45" i="26"/>
  <c r="K45" i="26"/>
  <c r="E46" i="26"/>
  <c r="K46" i="26"/>
  <c r="E47" i="26"/>
  <c r="K47" i="26"/>
  <c r="E48" i="26"/>
  <c r="E49" i="26"/>
  <c r="K48" i="26"/>
  <c r="K49" i="26"/>
  <c r="E50" i="26"/>
  <c r="K50" i="26"/>
  <c r="E51" i="26"/>
  <c r="K51" i="26"/>
  <c r="E52" i="26"/>
  <c r="K52" i="26"/>
  <c r="E53" i="26"/>
  <c r="K53" i="26"/>
  <c r="E54" i="26"/>
  <c r="K54" i="26"/>
  <c r="E55" i="26"/>
  <c r="K55" i="26"/>
  <c r="E56" i="26"/>
  <c r="K56" i="26"/>
  <c r="E57" i="26"/>
  <c r="K57" i="26"/>
  <c r="E58" i="26"/>
  <c r="K58" i="26"/>
  <c r="E59" i="26"/>
  <c r="K59" i="26"/>
  <c r="E60" i="26"/>
  <c r="K60" i="26"/>
  <c r="E61" i="26"/>
  <c r="K61" i="26"/>
  <c r="E62" i="26"/>
  <c r="K62" i="26"/>
  <c r="E63" i="26"/>
  <c r="K63" i="26"/>
  <c r="E64" i="26"/>
  <c r="K64" i="26"/>
  <c r="E65" i="26"/>
  <c r="K65" i="26"/>
  <c r="E66" i="26"/>
  <c r="K66" i="26"/>
  <c r="E67" i="26"/>
  <c r="K67" i="26"/>
  <c r="E68" i="26"/>
  <c r="K68" i="26"/>
  <c r="E69" i="26"/>
  <c r="K69" i="26"/>
  <c r="E70" i="26"/>
  <c r="K70" i="26"/>
  <c r="E71" i="26"/>
  <c r="K71" i="26"/>
  <c r="E72" i="26"/>
  <c r="K72" i="26"/>
  <c r="E73" i="26"/>
  <c r="K73" i="26"/>
  <c r="E74" i="26"/>
  <c r="K74" i="26"/>
  <c r="E75" i="26"/>
  <c r="K75" i="26"/>
  <c r="E76" i="26"/>
  <c r="K76" i="26"/>
  <c r="E77" i="26"/>
  <c r="K77" i="26"/>
  <c r="E78" i="26"/>
  <c r="K78" i="26"/>
  <c r="E79" i="26"/>
  <c r="K79" i="26"/>
  <c r="E80" i="26"/>
  <c r="K80" i="26"/>
  <c r="E81" i="26"/>
  <c r="K81" i="26"/>
  <c r="E82" i="26"/>
  <c r="K82" i="26"/>
  <c r="E83" i="26"/>
  <c r="K83" i="26"/>
  <c r="E84" i="26"/>
  <c r="K84" i="26"/>
  <c r="E85" i="26"/>
  <c r="K85" i="26"/>
  <c r="E86" i="26"/>
  <c r="K86" i="26"/>
  <c r="E87" i="26"/>
  <c r="K87" i="26"/>
  <c r="E88" i="26"/>
  <c r="K88" i="26"/>
  <c r="E89" i="26"/>
  <c r="K89" i="26"/>
  <c r="E90" i="26"/>
  <c r="K90" i="26"/>
  <c r="E91" i="26"/>
  <c r="K91" i="26"/>
  <c r="E92" i="26"/>
  <c r="K92" i="26"/>
  <c r="E93" i="26"/>
  <c r="K93" i="26"/>
  <c r="E94" i="26"/>
  <c r="K94" i="26"/>
  <c r="E95" i="26"/>
  <c r="K95" i="26"/>
  <c r="E96" i="26"/>
  <c r="K96" i="26"/>
  <c r="E97" i="26"/>
  <c r="K97" i="26"/>
  <c r="E98" i="26"/>
  <c r="K98" i="26"/>
  <c r="E99" i="26"/>
  <c r="K99" i="26"/>
  <c r="E100" i="26"/>
  <c r="K100" i="26"/>
  <c r="E101" i="26"/>
  <c r="K42" i="27"/>
  <c r="K101" i="26"/>
  <c r="L101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Sean T. Hammond</author>
  </authors>
  <commentList>
    <comment ref="B3" authorId="0" shapeId="0" xr:uid="{4297265A-9F13-3943-B171-5B4BEA791642}">
      <text>
        <r>
          <rPr>
            <b/>
            <sz val="10"/>
            <color indexed="81"/>
            <rFont val="Calibri"/>
            <family val="2"/>
          </rPr>
          <t>speciesConstant1</t>
        </r>
      </text>
    </comment>
    <comment ref="B4" authorId="0" shapeId="0" xr:uid="{AB36E312-6193-7D4A-9600-1F915766B29E}">
      <text>
        <r>
          <rPr>
            <b/>
            <sz val="10"/>
            <color indexed="81"/>
            <rFont val="Calibri"/>
            <family val="2"/>
          </rPr>
          <t>speciesExponent1</t>
        </r>
      </text>
    </comment>
    <comment ref="B7" authorId="0" shapeId="0" xr:uid="{65657348-BE46-4549-BA03-EB9B53771C2B}">
      <text>
        <r>
          <rPr>
            <b/>
            <sz val="10"/>
            <color indexed="81"/>
            <rFont val="Calibri"/>
            <family val="2"/>
          </rPr>
          <t>speciesConstant2</t>
        </r>
      </text>
    </comment>
    <comment ref="B8" authorId="0" shapeId="0" xr:uid="{FA3A414C-C72A-6F4A-BD7F-33464B3ABB25}">
      <text>
        <r>
          <rPr>
            <b/>
            <sz val="10"/>
            <color indexed="81"/>
            <rFont val="Calibri"/>
            <family val="2"/>
          </rPr>
          <t>speciesExponent2</t>
        </r>
      </text>
    </comment>
    <comment ref="H8" authorId="1" shapeId="0" xr:uid="{0E984F94-4EA7-F144-89DC-C07B3DC277AB}">
      <text>
        <r>
          <rPr>
            <b/>
            <sz val="9"/>
            <color indexed="81"/>
            <rFont val="Verdana"/>
            <family val="2"/>
          </rPr>
          <t>Sean T. Hammond:</t>
        </r>
        <r>
          <rPr>
            <sz val="9"/>
            <color indexed="81"/>
            <rFont val="Verdana"/>
            <family val="2"/>
          </rPr>
          <t xml:space="preserve">
There is a age bias in data where mature individuals are sampled more than very young individuals. More studies are starting to be done on younger trees.
</t>
        </r>
      </text>
    </comment>
    <comment ref="B11" authorId="0" shapeId="0" xr:uid="{80230FD0-15A7-754F-8150-C60D4C43FC6E}">
      <text>
        <r>
          <rPr>
            <b/>
            <sz val="10"/>
            <color indexed="81"/>
            <rFont val="Calibri"/>
            <family val="2"/>
          </rPr>
          <t>speciesConstant3</t>
        </r>
      </text>
    </comment>
    <comment ref="B12" authorId="0" shapeId="0" xr:uid="{71381E47-D852-4A43-BB03-470CDB01DC13}">
      <text>
        <r>
          <rPr>
            <b/>
            <sz val="10"/>
            <color rgb="FF000000"/>
            <rFont val="Calibri"/>
            <family val="2"/>
          </rPr>
          <t>speciesExponent3</t>
        </r>
      </text>
    </comment>
    <comment ref="B15" authorId="0" shapeId="0" xr:uid="{D168582B-85D4-8147-8314-E69EFCD29B12}">
      <text>
        <r>
          <rPr>
            <b/>
            <sz val="10"/>
            <color rgb="FF000000"/>
            <rFont val="Calibri"/>
            <family val="2"/>
          </rPr>
          <t>speciesConstant20</t>
        </r>
      </text>
    </comment>
    <comment ref="B16" authorId="0" shapeId="0" xr:uid="{299447C3-C024-A646-B7FE-2DEA26185FE6}">
      <text>
        <r>
          <rPr>
            <b/>
            <sz val="10"/>
            <color indexed="81"/>
            <rFont val="Calibri"/>
            <family val="2"/>
          </rPr>
          <t>speciesExponent20</t>
        </r>
      </text>
    </comment>
    <comment ref="B19" authorId="0" shapeId="0" xr:uid="{1D186F81-38E5-994A-A3A4-EDDD43545B67}">
      <text>
        <r>
          <rPr>
            <b/>
            <sz val="10"/>
            <color indexed="81"/>
            <rFont val="Calibri"/>
            <family val="2"/>
          </rPr>
          <t>speciesConstant7</t>
        </r>
      </text>
    </comment>
    <comment ref="B20" authorId="0" shapeId="0" xr:uid="{C6CE0B43-02B0-DB48-B20F-9EA48D832CA1}">
      <text>
        <r>
          <rPr>
            <b/>
            <sz val="10"/>
            <color indexed="81"/>
            <rFont val="Calibri"/>
            <family val="2"/>
          </rPr>
          <t>speciesExponent7</t>
        </r>
      </text>
    </comment>
    <comment ref="H20" authorId="1" shapeId="0" xr:uid="{4C5C8746-C2B1-3248-9F00-BD4FFCE8B7C3}">
      <text>
        <r>
          <rPr>
            <b/>
            <sz val="9"/>
            <color indexed="81"/>
            <rFont val="Verdana"/>
            <family val="2"/>
          </rPr>
          <t>Sean T. Hammond:</t>
        </r>
        <r>
          <rPr>
            <sz val="9"/>
            <color indexed="81"/>
            <rFont val="Verdana"/>
            <family val="2"/>
          </rPr>
          <t xml:space="preserve">
This value is almost certainly an artifact of poorly screened data and overlapping (and different) mature growth curves.
</t>
        </r>
      </text>
    </comment>
    <comment ref="B21" authorId="0" shapeId="0" xr:uid="{D9F277A7-B309-FF41-AAAB-6F98E2882DE5}">
      <text>
        <r>
          <rPr>
            <b/>
            <sz val="10"/>
            <color indexed="81"/>
            <rFont val="Calibri"/>
            <family val="2"/>
          </rPr>
          <t>speciesConstant6</t>
        </r>
      </text>
    </comment>
    <comment ref="B25" authorId="0" shapeId="0" xr:uid="{7FE63C84-6B99-B242-B6A1-DFF39409AB4A}">
      <text>
        <r>
          <rPr>
            <b/>
            <sz val="10"/>
            <color rgb="FF000000"/>
            <rFont val="Calibri"/>
            <family val="2"/>
          </rPr>
          <t>heightStemMax</t>
        </r>
      </text>
    </comment>
    <comment ref="B26" authorId="0" shapeId="0" xr:uid="{5CB37C45-BDA3-D64F-99CE-919E910AA4A9}">
      <text>
        <r>
          <rPr>
            <b/>
            <sz val="10"/>
            <color indexed="81"/>
            <rFont val="Calibri"/>
            <family val="2"/>
          </rPr>
          <t>speciesConstant8</t>
        </r>
      </text>
    </comment>
    <comment ref="C33" authorId="1" shapeId="0" xr:uid="{65DFE5FC-731F-D54F-AA48-2A8861CE9B7C}">
      <text>
        <r>
          <rPr>
            <b/>
            <sz val="9"/>
            <color indexed="81"/>
            <rFont val="Verdana"/>
            <family val="2"/>
          </rPr>
          <t>Sean T. Hammond:</t>
        </r>
        <r>
          <rPr>
            <sz val="9"/>
            <color indexed="81"/>
            <rFont val="Verdana"/>
            <family val="2"/>
          </rPr>
          <t xml:space="preserve">
I do not recommend you change this value</t>
        </r>
      </text>
    </comment>
    <comment ref="C34" authorId="1" shapeId="0" xr:uid="{17F045F2-FFFC-5545-AAA3-CB86112B3FCF}">
      <text>
        <r>
          <rPr>
            <b/>
            <sz val="9"/>
            <color indexed="81"/>
            <rFont val="Verdana"/>
            <family val="2"/>
          </rPr>
          <t>Sean T. Hammond:</t>
        </r>
        <r>
          <rPr>
            <sz val="9"/>
            <color indexed="81"/>
            <rFont val="Verdana"/>
            <family val="2"/>
          </rPr>
          <t xml:space="preserve">
Do not change this unless you understand how Vida calculates canopy spread</t>
        </r>
      </text>
    </comment>
    <comment ref="B35" authorId="0" shapeId="0" xr:uid="{CF0DF9D8-3878-A84A-8BAA-2B08A2954802}">
      <text>
        <r>
          <rPr>
            <b/>
            <sz val="10"/>
            <color indexed="81"/>
            <rFont val="Calibri"/>
            <family val="2"/>
          </rPr>
          <t>densityStem</t>
        </r>
      </text>
    </comment>
    <comment ref="B36" authorId="0" shapeId="0" xr:uid="{1E73D255-F246-B445-8325-8FB2D2127DC9}">
      <text>
        <r>
          <rPr>
            <b/>
            <sz val="10"/>
            <color indexed="81"/>
            <rFont val="Calibri"/>
            <family val="2"/>
          </rPr>
          <t>youngsModulusStem</t>
        </r>
      </text>
    </comment>
    <comment ref="C37" authorId="1" shapeId="0" xr:uid="{4EE6BF3C-036C-1641-A3C7-28ED1204A51B}">
      <text>
        <r>
          <rPr>
            <b/>
            <sz val="9"/>
            <color indexed="81"/>
            <rFont val="Verdana"/>
            <family val="2"/>
          </rPr>
          <t>Sean T. Hammond:</t>
        </r>
        <r>
          <rPr>
            <sz val="9"/>
            <color indexed="81"/>
            <rFont val="Verdana"/>
            <family val="2"/>
          </rPr>
          <t xml:space="preserve">
Do not change this unless you understand how Vida calculates canopy spread</t>
        </r>
      </text>
    </comment>
    <comment ref="B39" authorId="0" shapeId="0" xr:uid="{656CE35E-7393-4842-9DBF-83FF6A58900D}">
      <text>
        <r>
          <rPr>
            <b/>
            <sz val="10"/>
            <color indexed="81"/>
            <rFont val="Calibri"/>
            <family val="2"/>
          </rPr>
          <t>fractionCarbonToStem</t>
        </r>
      </text>
    </comment>
  </commentList>
</comments>
</file>

<file path=xl/sharedStrings.xml><?xml version="1.0" encoding="utf-8"?>
<sst xmlns="http://schemas.openxmlformats.org/spreadsheetml/2006/main" count="78" uniqueCount="63">
  <si>
    <t>Ms=ß1*Mt^a1</t>
  </si>
  <si>
    <t>ß1=</t>
  </si>
  <si>
    <t>a1=</t>
  </si>
  <si>
    <t>Cycle</t>
  </si>
  <si>
    <t>DensityLeaf:</t>
  </si>
  <si>
    <t>HeightLeaf:</t>
  </si>
  <si>
    <t>fractStem@germ:</t>
  </si>
  <si>
    <t>Mlyoung=ß2*Ms^a2</t>
  </si>
  <si>
    <t>Mlmature=ß3*Ms^a3</t>
  </si>
  <si>
    <t>Ds=ß4*Ms^a4</t>
  </si>
  <si>
    <t>ß2=</t>
  </si>
  <si>
    <t>a2=</t>
  </si>
  <si>
    <t>ß3=</t>
  </si>
  <si>
    <t>a3=</t>
  </si>
  <si>
    <t>ß4</t>
  </si>
  <si>
    <t>a4</t>
  </si>
  <si>
    <t>Hsyoung=(ß5*Ds^a5)-ß6</t>
  </si>
  <si>
    <t>ß5</t>
  </si>
  <si>
    <t>a5</t>
  </si>
  <si>
    <t>ß6</t>
  </si>
  <si>
    <t>Hsmature=ß7 + ß8 ln Ds</t>
  </si>
  <si>
    <t>ß8</t>
  </si>
  <si>
    <t>Gt=Alprojected*[ß9*(Ml^a)]</t>
  </si>
  <si>
    <t>ß9</t>
  </si>
  <si>
    <t>a6</t>
  </si>
  <si>
    <t>DensityStem:</t>
  </si>
  <si>
    <t>YoungsModStem:</t>
  </si>
  <si>
    <t>IdealSeedlingMass</t>
  </si>
  <si>
    <t>Hs</t>
  </si>
  <si>
    <t>Hs mature</t>
  </si>
  <si>
    <t>Hs young</t>
  </si>
  <si>
    <t>Mature?</t>
  </si>
  <si>
    <t>Ml</t>
  </si>
  <si>
    <t>Ds</t>
  </si>
  <si>
    <t>Alprojected</t>
  </si>
  <si>
    <t>Gnew</t>
  </si>
  <si>
    <t>Mt</t>
  </si>
  <si>
    <t>Ms</t>
  </si>
  <si>
    <t>Hcrit</t>
  </si>
  <si>
    <t>Violate Euler?</t>
  </si>
  <si>
    <t>Woody mass from total mass</t>
  </si>
  <si>
    <t>Canopy mass(young) from woody mass</t>
  </si>
  <si>
    <t>Canopy mass(mature) from woody mass</t>
  </si>
  <si>
    <t>Woody diameter from woody mass</t>
  </si>
  <si>
    <t>Tree height(young) from woody diameter</t>
  </si>
  <si>
    <t>Tree height(mature) from woody diameter</t>
  </si>
  <si>
    <t>Total growth from projected area and canopy mass</t>
  </si>
  <si>
    <t>old canonpy radius</t>
  </si>
  <si>
    <t>ß7 (max height)</t>
  </si>
  <si>
    <t>Suggested values</t>
  </si>
  <si>
    <t>Allometric theory</t>
  </si>
  <si>
    <t>NA</t>
  </si>
  <si>
    <t>Average Angiosperm</t>
  </si>
  <si>
    <t>Average Gymnosperm</t>
  </si>
  <si>
    <t>STH suggestions</t>
  </si>
  <si>
    <t>0.75 for angiosperms, 0.8 for gymnosperms</t>
  </si>
  <si>
    <t>Look up</t>
  </si>
  <si>
    <t>~900</t>
  </si>
  <si>
    <t>Edit these    \/</t>
  </si>
  <si>
    <t>Projected age of maturity (years):</t>
  </si>
  <si>
    <t>Warnings:</t>
  </si>
  <si>
    <t>% error Ms+Ml vs Mt (%)</t>
  </si>
  <si>
    <t>percent error for mass 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</si>
</sst>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%"/>
  </numFmts>
  <fonts count="13" x14ac:knownFonts="1">
    <font>
      <sz val="10"/>
      <name val="Verdana"/>
    </font>
    <font>
      <b/>
      <sz val="10"/>
      <name val="Verdana"/>
    </font>
    <font>
      <i/>
      <sz val="10"/>
      <name val="Verdana"/>
    </font>
    <font>
      <b/>
      <i/>
      <sz val="10"/>
      <name val="Verdana"/>
    </font>
    <font>
      <sz val="10"/>
      <name val="Verdana"/>
      <family val="2"/>
    </font>
    <font>
      <sz val="8"/>
      <name val="Verdana"/>
      <family val="2"/>
    </font>
    <font>
      <sz val="10"/>
      <color indexed="10"/>
      <name val="Verdana"/>
      <family val="2"/>
    </font>
    <font>
      <sz val="9"/>
      <color indexed="81"/>
      <name val="Verdana"/>
      <family val="2"/>
    </font>
    <font>
      <b/>
      <sz val="9"/>
      <color indexed="81"/>
      <name val="Verdana"/>
      <family val="2"/>
    </font>
    <font>
      <b/>
      <sz val="10"/>
      <color indexed="81"/>
      <name val="Calibri"/>
      <family val="2"/>
    </font>
    <font>
      <b/>
      <sz val="10"/>
      <color rgb="FFFF0000"/>
      <name val="Verdana"/>
      <family val="2"/>
    </font>
    <font>
      <b/>
      <sz val="10"/>
      <name val="Verdana"/>
      <family val="2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/>
    <xf numFmtId="0" fontId="2" fillId="0" borderId="0" xfId="0" applyFont="1"/>
    <xf numFmtId="0" fontId="4" fillId="0" borderId="1" xfId="0" applyFont="1" applyBorder="1"/>
    <xf numFmtId="0" fontId="4" fillId="0" borderId="0" xfId="0" applyFont="1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/>
    <xf numFmtId="0" fontId="1" fillId="0" borderId="0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Border="1"/>
    <xf numFmtId="0" fontId="0" fillId="0" borderId="1" xfId="0" applyBorder="1"/>
    <xf numFmtId="0" fontId="0" fillId="0" borderId="0" xfId="0" applyFont="1"/>
    <xf numFmtId="0" fontId="1" fillId="0" borderId="0" xfId="0" applyFont="1" applyBorder="1"/>
    <xf numFmtId="0" fontId="1" fillId="0" borderId="1" xfId="0" applyFont="1" applyBorder="1"/>
    <xf numFmtId="0" fontId="3" fillId="0" borderId="3" xfId="0" applyFont="1" applyBorder="1" applyAlignment="1">
      <alignment wrapText="1"/>
    </xf>
    <xf numFmtId="0" fontId="0" fillId="0" borderId="3" xfId="0" applyBorder="1"/>
    <xf numFmtId="0" fontId="6" fillId="0" borderId="3" xfId="0" applyFont="1" applyBorder="1"/>
    <xf numFmtId="0" fontId="0" fillId="0" borderId="4" xfId="0" applyBorder="1"/>
    <xf numFmtId="0" fontId="1" fillId="2" borderId="0" xfId="0" applyFont="1" applyFill="1" applyAlignment="1">
      <alignment horizontal="center" wrapText="1"/>
    </xf>
    <xf numFmtId="0" fontId="0" fillId="0" borderId="5" xfId="0" applyFill="1" applyBorder="1"/>
    <xf numFmtId="0" fontId="0" fillId="0" borderId="5" xfId="0" applyBorder="1"/>
    <xf numFmtId="0" fontId="0" fillId="0" borderId="3" xfId="0" applyFill="1" applyBorder="1"/>
    <xf numFmtId="0" fontId="0" fillId="0" borderId="3" xfId="0" applyFont="1" applyFill="1" applyBorder="1"/>
    <xf numFmtId="0" fontId="0" fillId="0" borderId="3" xfId="0" applyFill="1" applyBorder="1" applyAlignment="1">
      <alignment wrapText="1"/>
    </xf>
    <xf numFmtId="0" fontId="0" fillId="0" borderId="4" xfId="0" applyFill="1" applyBorder="1"/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horizontal="right"/>
    </xf>
    <xf numFmtId="0" fontId="0" fillId="0" borderId="3" xfId="0" applyFont="1" applyBorder="1" applyAlignment="1">
      <alignment horizontal="right" wrapText="1"/>
    </xf>
    <xf numFmtId="0" fontId="6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0" fillId="0" borderId="6" xfId="0" applyFill="1" applyBorder="1" applyAlignment="1">
      <alignment horizontal="right"/>
    </xf>
    <xf numFmtId="0" fontId="0" fillId="0" borderId="4" xfId="0" applyBorder="1" applyAlignment="1">
      <alignment horizontal="right" wrapText="1"/>
    </xf>
    <xf numFmtId="0" fontId="0" fillId="0" borderId="4" xfId="0" applyBorder="1" applyAlignment="1">
      <alignment horizontal="right"/>
    </xf>
    <xf numFmtId="0" fontId="0" fillId="0" borderId="7" xfId="0" applyFill="1" applyBorder="1" applyAlignment="1">
      <alignment horizontal="right"/>
    </xf>
    <xf numFmtId="0" fontId="10" fillId="0" borderId="0" xfId="0" applyFont="1"/>
    <xf numFmtId="0" fontId="1" fillId="3" borderId="0" xfId="0" applyFont="1" applyFill="1" applyAlignment="1">
      <alignment wrapText="1"/>
    </xf>
    <xf numFmtId="0" fontId="0" fillId="3" borderId="3" xfId="0" applyFill="1" applyBorder="1"/>
    <xf numFmtId="0" fontId="0" fillId="3" borderId="0" xfId="0" applyFill="1" applyAlignment="1">
      <alignment wrapText="1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1" fillId="0" borderId="0" xfId="0" applyFont="1" applyFill="1" applyBorder="1" applyAlignment="1">
      <alignment wrapText="1"/>
    </xf>
    <xf numFmtId="0" fontId="4" fillId="0" borderId="0" xfId="0" applyFont="1" applyAlignment="1">
      <alignment wrapText="1"/>
    </xf>
    <xf numFmtId="173" fontId="11" fillId="0" borderId="0" xfId="1" applyNumberFormat="1" applyFont="1" applyAlignment="1">
      <alignment wrapText="1"/>
    </xf>
    <xf numFmtId="173" fontId="2" fillId="0" borderId="0" xfId="1" applyNumberFormat="1" applyFont="1"/>
    <xf numFmtId="173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Series1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ymbol val="none"/>
          </c:marker>
          <c:cat>
            <c:numRef>
              <c:f>'Simulate growth'!$A$2:$A$101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'Simulate growth'!$E$2:$E$101</c:f>
              <c:numCache>
                <c:formatCode>General</c:formatCode>
                <c:ptCount val="100"/>
                <c:pt idx="0">
                  <c:v>5.7842341374131516E-2</c:v>
                </c:pt>
                <c:pt idx="1">
                  <c:v>0.18126743050040195</c:v>
                </c:pt>
                <c:pt idx="2">
                  <c:v>0.6547010914390502</c:v>
                </c:pt>
                <c:pt idx="3">
                  <c:v>1.3841203694175213</c:v>
                </c:pt>
                <c:pt idx="4">
                  <c:v>2.2355144383049552</c:v>
                </c:pt>
                <c:pt idx="5">
                  <c:v>3.1319441163580799</c:v>
                </c:pt>
                <c:pt idx="6">
                  <c:v>4.0405984204672594</c:v>
                </c:pt>
                <c:pt idx="7">
                  <c:v>4.9479366850865159</c:v>
                </c:pt>
                <c:pt idx="8">
                  <c:v>5.848313078175666</c:v>
                </c:pt>
                <c:pt idx="9">
                  <c:v>6.7394486491961558</c:v>
                </c:pt>
                <c:pt idx="10">
                  <c:v>7.6205729831329991</c:v>
                </c:pt>
                <c:pt idx="11">
                  <c:v>8.4916141605412534</c:v>
                </c:pt>
                <c:pt idx="12">
                  <c:v>9.3167994792704718</c:v>
                </c:pt>
                <c:pt idx="13">
                  <c:v>10.107527488717094</c:v>
                </c:pt>
                <c:pt idx="14">
                  <c:v>10.868455086492252</c:v>
                </c:pt>
                <c:pt idx="15">
                  <c:v>11.603275695044417</c:v>
                </c:pt>
                <c:pt idx="16">
                  <c:v>12.3149731767221</c:v>
                </c:pt>
                <c:pt idx="17">
                  <c:v>13.005997394050425</c:v>
                </c:pt>
                <c:pt idx="18">
                  <c:v>13.678388369578547</c:v>
                </c:pt>
                <c:pt idx="19">
                  <c:v>14.333866007261284</c:v>
                </c:pt>
                <c:pt idx="20">
                  <c:v>14.973896228286906</c:v>
                </c:pt>
                <c:pt idx="21">
                  <c:v>15.599740609784188</c:v>
                </c:pt>
                <c:pt idx="22">
                  <c:v>16.212494255269611</c:v>
                </c:pt>
                <c:pt idx="23">
                  <c:v>16.813115116852071</c:v>
                </c:pt>
                <c:pt idx="24">
                  <c:v>17.402447004447595</c:v>
                </c:pt>
                <c:pt idx="25">
                  <c:v>17.981237861670675</c:v>
                </c:pt>
                <c:pt idx="26">
                  <c:v>18.550154443360864</c:v>
                </c:pt>
                <c:pt idx="27">
                  <c:v>19.109794222699751</c:v>
                </c:pt>
                <c:pt idx="28">
                  <c:v>19.660695140444883</c:v>
                </c:pt>
                <c:pt idx="29">
                  <c:v>20.203343655330972</c:v>
                </c:pt>
                <c:pt idx="30">
                  <c:v>20.738181443801256</c:v>
                </c:pt>
                <c:pt idx="31">
                  <c:v>21.265611016064124</c:v>
                </c:pt>
                <c:pt idx="32">
                  <c:v>21.786000455333262</c:v>
                </c:pt>
                <c:pt idx="33">
                  <c:v>22.299687442049489</c:v>
                </c:pt>
                <c:pt idx="34">
                  <c:v>22.806982690764112</c:v>
                </c:pt>
                <c:pt idx="35">
                  <c:v>23.308172901275153</c:v>
                </c:pt>
                <c:pt idx="36">
                  <c:v>23.803523305476293</c:v>
                </c:pt>
                <c:pt idx="37">
                  <c:v>24.293279875711054</c:v>
                </c:pt>
                <c:pt idx="38">
                  <c:v>24.77767124813067</c:v>
                </c:pt>
                <c:pt idx="39">
                  <c:v>25.256910404837296</c:v>
                </c:pt>
                <c:pt idx="40">
                  <c:v>25.731196150856466</c:v>
                </c:pt>
                <c:pt idx="41">
                  <c:v>26.20071441578169</c:v>
                </c:pt>
                <c:pt idx="42">
                  <c:v>26.665639404932108</c:v>
                </c:pt>
                <c:pt idx="43">
                  <c:v>27.126134620804848</c:v>
                </c:pt>
                <c:pt idx="44">
                  <c:v>27.582353772292144</c:v>
                </c:pt>
                <c:pt idx="45">
                  <c:v>28.034441586415021</c:v>
                </c:pt>
                <c:pt idx="46">
                  <c:v>28.482534535085293</c:v>
                </c:pt>
                <c:pt idx="47">
                  <c:v>28.926761487549708</c:v>
                </c:pt>
                <c:pt idx="48">
                  <c:v>29.367244297625163</c:v>
                </c:pt>
                <c:pt idx="49">
                  <c:v>29.804098333540658</c:v>
                </c:pt>
                <c:pt idx="50">
                  <c:v>30.237432957116852</c:v>
                </c:pt>
                <c:pt idx="51">
                  <c:v>30.667351958098948</c:v>
                </c:pt>
                <c:pt idx="52">
                  <c:v>31.093953948684494</c:v>
                </c:pt>
                <c:pt idx="53">
                  <c:v>31.517332722630144</c:v>
                </c:pt>
                <c:pt idx="54">
                  <c:v>31.937577582760952</c:v>
                </c:pt>
                <c:pt idx="55">
                  <c:v>32.354773640226384</c:v>
                </c:pt>
                <c:pt idx="56">
                  <c:v>32.769002088436004</c:v>
                </c:pt>
                <c:pt idx="57">
                  <c:v>33.180340454254306</c:v>
                </c:pt>
                <c:pt idx="58">
                  <c:v>33.588862828728047</c:v>
                </c:pt>
                <c:pt idx="59">
                  <c:v>33.99464007935542</c:v>
                </c:pt>
                <c:pt idx="60">
                  <c:v>34.397740045676898</c:v>
                </c:pt>
                <c:pt idx="61">
                  <c:v>34.798227719767901</c:v>
                </c:pt>
                <c:pt idx="62">
                  <c:v>35.196165413038564</c:v>
                </c:pt>
                <c:pt idx="63">
                  <c:v>35.591612910594456</c:v>
                </c:pt>
                <c:pt idx="64">
                  <c:v>35.984627614277215</c:v>
                </c:pt>
                <c:pt idx="65">
                  <c:v>36.375264675388124</c:v>
                </c:pt>
                <c:pt idx="66">
                  <c:v>36.763577117992355</c:v>
                </c:pt>
                <c:pt idx="67">
                  <c:v>37.149615953612233</c:v>
                </c:pt>
                <c:pt idx="68">
                  <c:v>37.533430288035561</c:v>
                </c:pt>
                <c:pt idx="69">
                  <c:v>37.915067420894594</c:v>
                </c:pt>
                <c:pt idx="70">
                  <c:v>38.294572938606926</c:v>
                </c:pt>
                <c:pt idx="71">
                  <c:v>38.671990801213646</c:v>
                </c:pt>
                <c:pt idx="72">
                  <c:v>39.047363423599215</c:v>
                </c:pt>
                <c:pt idx="73">
                  <c:v>39.420731751533182</c:v>
                </c:pt>
                <c:pt idx="74">
                  <c:v>39.792135332932922</c:v>
                </c:pt>
                <c:pt idx="75">
                  <c:v>40.161612384711134</c:v>
                </c:pt>
                <c:pt idx="76">
                  <c:v>40.529199855539218</c:v>
                </c:pt>
                <c:pt idx="77">
                  <c:v>40.894933484828655</c:v>
                </c:pt>
                <c:pt idx="78">
                  <c:v>41.258847858206693</c:v>
                </c:pt>
                <c:pt idx="79">
                  <c:v>41.620976459738195</c:v>
                </c:pt>
                <c:pt idx="80">
                  <c:v>41.981351721125634</c:v>
                </c:pt>
                <c:pt idx="81">
                  <c:v>42.340005068098385</c:v>
                </c:pt>
                <c:pt idx="82">
                  <c:v>42.696966964186764</c:v>
                </c:pt>
                <c:pt idx="83">
                  <c:v>43.052266952058694</c:v>
                </c:pt>
                <c:pt idx="84">
                  <c:v>43.40593369258432</c:v>
                </c:pt>
                <c:pt idx="85">
                  <c:v>43.757995001779648</c:v>
                </c:pt>
                <c:pt idx="86">
                  <c:v>44.108477885768792</c:v>
                </c:pt>
                <c:pt idx="87">
                  <c:v>44.457408573894092</c:v>
                </c:pt>
                <c:pt idx="88">
                  <c:v>44.804812550093018</c:v>
                </c:pt>
                <c:pt idx="89">
                  <c:v>45.150714582651688</c:v>
                </c:pt>
                <c:pt idx="90">
                  <c:v>45.495138752437377</c:v>
                </c:pt>
                <c:pt idx="91">
                  <c:v>45.83810847970426</c:v>
                </c:pt>
                <c:pt idx="92">
                  <c:v>46.179646549559685</c:v>
                </c:pt>
                <c:pt idx="93">
                  <c:v>46.519775136172633</c:v>
                </c:pt>
                <c:pt idx="94">
                  <c:v>46.858515825799557</c:v>
                </c:pt>
                <c:pt idx="95">
                  <c:v>47.195889638697899</c:v>
                </c:pt>
                <c:pt idx="96">
                  <c:v>47.531917049992344</c:v>
                </c:pt>
                <c:pt idx="97">
                  <c:v>47.866618009555054</c:v>
                </c:pt>
                <c:pt idx="98">
                  <c:v>48.200011960956033</c:v>
                </c:pt>
                <c:pt idx="99">
                  <c:v>48.532117859536676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C3-074F-A17A-85ABD50B39DE}"/>
            </c:ext>
          </c:extLst>
        </c:ser>
        <c:ser>
          <c:idx val="1"/>
          <c:order val="1"/>
          <c:spPr>
            <a:ln w="38100">
              <a:solidFill>
                <a:srgbClr val="993366"/>
              </a:solidFill>
              <a:prstDash val="solid"/>
            </a:ln>
          </c:spPr>
          <c:marker>
            <c:symbol val="none"/>
          </c:marker>
          <c:cat>
            <c:numRef>
              <c:f>'Simulate growth'!$A$2:$A$101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'Simulate growth'!$F$2:$F$101</c:f>
              <c:numCache>
                <c:formatCode>General</c:formatCode>
                <c:ptCount val="100"/>
                <c:pt idx="0">
                  <c:v>-34.860278347425208</c:v>
                </c:pt>
                <c:pt idx="1">
                  <c:v>-24.922682465956761</c:v>
                </c:pt>
                <c:pt idx="2">
                  <c:v>-13.750096137244199</c:v>
                </c:pt>
                <c:pt idx="3">
                  <c:v>-7.2369166359322463</c:v>
                </c:pt>
                <c:pt idx="4">
                  <c:v>-3.0660796528310357</c:v>
                </c:pt>
                <c:pt idx="5">
                  <c:v>-0.13259138210151988</c:v>
                </c:pt>
                <c:pt idx="6">
                  <c:v>2.0836367843755674</c:v>
                </c:pt>
                <c:pt idx="7">
                  <c:v>3.8460641098673101</c:v>
                </c:pt>
                <c:pt idx="8">
                  <c:v>5.3005527174054201</c:v>
                </c:pt>
                <c:pt idx="9">
                  <c:v>6.5344290153617912</c:v>
                </c:pt>
                <c:pt idx="10">
                  <c:v>7.6034279670271765</c:v>
                </c:pt>
                <c:pt idx="11">
                  <c:v>8.5450076142680267</c:v>
                </c:pt>
                <c:pt idx="12">
                  <c:v>9.3518461279241656</c:v>
                </c:pt>
                <c:pt idx="13">
                  <c:v>10.060559228736647</c:v>
                </c:pt>
                <c:pt idx="14">
                  <c:v>10.692041094572208</c:v>
                </c:pt>
                <c:pt idx="15">
                  <c:v>11.261220159948628</c:v>
                </c:pt>
                <c:pt idx="16">
                  <c:v>11.779117307110404</c:v>
                </c:pt>
                <c:pt idx="17">
                  <c:v>12.254091506914889</c:v>
                </c:pt>
                <c:pt idx="18">
                  <c:v>12.692628117216849</c:v>
                </c:pt>
                <c:pt idx="19">
                  <c:v>13.099856791703864</c:v>
                </c:pt>
                <c:pt idx="20">
                  <c:v>13.479902754728684</c:v>
                </c:pt>
                <c:pt idx="21">
                  <c:v>13.836131674795649</c:v>
                </c:pt>
                <c:pt idx="22">
                  <c:v>14.171324481039035</c:v>
                </c:pt>
                <c:pt idx="23">
                  <c:v>14.487804800951592</c:v>
                </c:pt>
                <c:pt idx="24">
                  <c:v>14.787533592221623</c:v>
                </c:pt>
                <c:pt idx="25">
                  <c:v>15.072180579288938</c:v>
                </c:pt>
                <c:pt idx="26">
                  <c:v>15.343178980719571</c:v>
                </c:pt>
                <c:pt idx="27">
                  <c:v>15.601767996219772</c:v>
                </c:pt>
                <c:pt idx="28">
                  <c:v>15.84902619007887</c:v>
                </c:pt>
                <c:pt idx="29">
                  <c:v>16.085898010249068</c:v>
                </c:pt>
                <c:pt idx="30">
                  <c:v>16.313215066207668</c:v>
                </c:pt>
                <c:pt idx="31">
                  <c:v>16.531713358759074</c:v>
                </c:pt>
                <c:pt idx="32">
                  <c:v>16.742047350180151</c:v>
                </c:pt>
                <c:pt idx="33">
                  <c:v>16.944801544055025</c:v>
                </c:pt>
                <c:pt idx="34">
                  <c:v>17.140500084629181</c:v>
                </c:pt>
                <c:pt idx="35">
                  <c:v>17.329614767952219</c:v>
                </c:pt>
                <c:pt idx="36">
                  <c:v>17.512571769468686</c:v>
                </c:pt>
                <c:pt idx="37">
                  <c:v>17.68975732674885</c:v>
                </c:pt>
                <c:pt idx="38">
                  <c:v>17.861522565896777</c:v>
                </c:pt>
                <c:pt idx="39">
                  <c:v>18.028187621697775</c:v>
                </c:pt>
                <c:pt idx="40">
                  <c:v>18.190045171799731</c:v>
                </c:pt>
                <c:pt idx="41">
                  <c:v>18.347363482010614</c:v>
                </c:pt>
                <c:pt idx="42">
                  <c:v>18.50038904155749</c:v>
                </c:pt>
                <c:pt idx="43">
                  <c:v>18.649348852724394</c:v>
                </c:pt>
                <c:pt idx="44">
                  <c:v>18.794452427795456</c:v>
                </c:pt>
                <c:pt idx="45">
                  <c:v>18.935893537020668</c:v>
                </c:pt>
                <c:pt idx="46">
                  <c:v>19.073851743897883</c:v>
                </c:pt>
                <c:pt idx="47">
                  <c:v>19.208493758045449</c:v>
                </c:pt>
                <c:pt idx="48">
                  <c:v>19.339974631034806</c:v>
                </c:pt>
                <c:pt idx="49">
                  <c:v>19.468438816533435</c:v>
                </c:pt>
                <c:pt idx="50">
                  <c:v>19.594021112800903</c:v>
                </c:pt>
                <c:pt idx="51">
                  <c:v>19.716847502845312</c:v>
                </c:pt>
                <c:pt idx="52">
                  <c:v>19.837035905275542</c:v>
                </c:pt>
                <c:pt idx="53">
                  <c:v>19.954696846989883</c:v>
                </c:pt>
                <c:pt idx="54">
                  <c:v>20.069934067254721</c:v>
                </c:pt>
                <c:pt idx="55">
                  <c:v>20.182845061393358</c:v>
                </c:pt>
                <c:pt idx="56">
                  <c:v>20.293521571179333</c:v>
                </c:pt>
                <c:pt idx="57">
                  <c:v>20.402050028076307</c:v>
                </c:pt>
                <c:pt idx="58">
                  <c:v>20.508511954656623</c:v>
                </c:pt>
                <c:pt idx="59">
                  <c:v>20.612984328841144</c:v>
                </c:pt>
                <c:pt idx="60">
                  <c:v>20.715539915013075</c:v>
                </c:pt>
                <c:pt idx="61">
                  <c:v>20.816247565552679</c:v>
                </c:pt>
                <c:pt idx="62">
                  <c:v>20.915172495904955</c:v>
                </c:pt>
                <c:pt idx="63">
                  <c:v>21.012376535917127</c:v>
                </c:pt>
                <c:pt idx="64">
                  <c:v>21.107918359858601</c:v>
                </c:pt>
                <c:pt idx="65">
                  <c:v>21.201853697254883</c:v>
                </c:pt>
                <c:pt idx="66">
                  <c:v>21.294235526422376</c:v>
                </c:pt>
                <c:pt idx="67">
                  <c:v>21.385114252378486</c:v>
                </c:pt>
                <c:pt idx="68">
                  <c:v>21.474537870615116</c:v>
                </c:pt>
                <c:pt idx="69">
                  <c:v>21.562552118061397</c:v>
                </c:pt>
                <c:pt idx="70">
                  <c:v>21.649200612418429</c:v>
                </c:pt>
                <c:pt idx="71">
                  <c:v>21.734524980923677</c:v>
                </c:pt>
                <c:pt idx="72">
                  <c:v>21.818564979492034</c:v>
                </c:pt>
                <c:pt idx="73">
                  <c:v>21.901358603083231</c:v>
                </c:pt>
                <c:pt idx="74">
                  <c:v>21.982942188058953</c:v>
                </c:pt>
                <c:pt idx="75">
                  <c:v>22.063350507216775</c:v>
                </c:pt>
                <c:pt idx="76">
                  <c:v>22.142616858120316</c:v>
                </c:pt>
                <c:pt idx="77">
                  <c:v>22.220773145284642</c:v>
                </c:pt>
                <c:pt idx="78">
                  <c:v>22.297849956722573</c:v>
                </c:pt>
                <c:pt idx="79">
                  <c:v>22.373876635309351</c:v>
                </c:pt>
                <c:pt idx="80">
                  <c:v>22.448881345380901</c:v>
                </c:pt>
                <c:pt idx="81">
                  <c:v>22.522891134942078</c:v>
                </c:pt>
                <c:pt idx="82">
                  <c:v>22.595931993827691</c:v>
                </c:pt>
                <c:pt idx="83">
                  <c:v>22.66802890812767</c:v>
                </c:pt>
                <c:pt idx="84">
                  <c:v>22.73920591116077</c:v>
                </c:pt>
                <c:pt idx="85">
                  <c:v>22.80948613125576</c:v>
                </c:pt>
                <c:pt idx="86">
                  <c:v>22.878891836576997</c:v>
                </c:pt>
                <c:pt idx="87">
                  <c:v>22.947444477210983</c:v>
                </c:pt>
                <c:pt idx="88">
                  <c:v>23.015164724712065</c:v>
                </c:pt>
                <c:pt idx="89">
                  <c:v>23.082072509289144</c:v>
                </c:pt>
                <c:pt idx="90">
                  <c:v>23.148187054800044</c:v>
                </c:pt>
                <c:pt idx="91">
                  <c:v>23.213526911706872</c:v>
                </c:pt>
                <c:pt idx="92">
                  <c:v>23.278109988133036</c:v>
                </c:pt>
                <c:pt idx="93">
                  <c:v>23.341953579151671</c:v>
                </c:pt>
                <c:pt idx="94">
                  <c:v>23.405074394424876</c:v>
                </c:pt>
                <c:pt idx="95">
                  <c:v>23.467488584303858</c:v>
                </c:pt>
                <c:pt idx="96">
                  <c:v>23.529211764491631</c:v>
                </c:pt>
                <c:pt idx="97">
                  <c:v>23.590259039362213</c:v>
                </c:pt>
                <c:pt idx="98">
                  <c:v>23.65064502402311</c:v>
                </c:pt>
                <c:pt idx="99">
                  <c:v>23.710383865201457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C3-074F-A17A-85ABD50B3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922320"/>
        <c:axId val="1"/>
      </c:lineChart>
      <c:catAx>
        <c:axId val="1505922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-5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592232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7943282168842819"/>
          <c:y val="0.43061955333875085"/>
          <c:w val="0.18355003488487986"/>
          <c:h val="0.1352358001513155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Woody Mass over Time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ymbol val="none"/>
          </c:marker>
          <c:val>
            <c:numRef>
              <c:f>'Simulate growth'!$D$2:$D$101</c:f>
              <c:numCache>
                <c:formatCode>General</c:formatCode>
                <c:ptCount val="100"/>
                <c:pt idx="0">
                  <c:v>2.673E-5</c:v>
                </c:pt>
                <c:pt idx="1">
                  <c:v>5.6216361116833834E-4</c:v>
                </c:pt>
                <c:pt idx="2">
                  <c:v>1.7263340127424774E-2</c:v>
                </c:pt>
                <c:pt idx="3">
                  <c:v>0.12709845774847731</c:v>
                </c:pt>
                <c:pt idx="4">
                  <c:v>0.4564045147586091</c:v>
                </c:pt>
                <c:pt idx="5">
                  <c:v>1.1216240997547731</c:v>
                </c:pt>
                <c:pt idx="6">
                  <c:v>2.2124076934829331</c:v>
                </c:pt>
                <c:pt idx="7">
                  <c:v>3.7972950560817695</c:v>
                </c:pt>
                <c:pt idx="8">
                  <c:v>5.930504283458168</c:v>
                </c:pt>
                <c:pt idx="9">
                  <c:v>8.6564861191706033</c:v>
                </c:pt>
                <c:pt idx="10">
                  <c:v>12.012783737934397</c:v>
                </c:pt>
                <c:pt idx="11">
                  <c:v>16.031863051469955</c:v>
                </c:pt>
                <c:pt idx="12">
                  <c:v>20.529954336107089</c:v>
                </c:pt>
                <c:pt idx="13">
                  <c:v>25.511136338596067</c:v>
                </c:pt>
                <c:pt idx="14">
                  <c:v>30.959278247086445</c:v>
                </c:pt>
                <c:pt idx="15">
                  <c:v>36.860250648219456</c:v>
                </c:pt>
                <c:pt idx="16">
                  <c:v>43.201541298105333</c:v>
                </c:pt>
                <c:pt idx="17">
                  <c:v>49.97196431334892</c:v>
                </c:pt>
                <c:pt idx="18">
                  <c:v>57.161436631274967</c:v>
                </c:pt>
                <c:pt idx="19">
                  <c:v>64.760803488446442</c:v>
                </c:pt>
                <c:pt idx="20">
                  <c:v>72.761700153543842</c:v>
                </c:pt>
                <c:pt idx="21">
                  <c:v>81.156440890019894</c:v>
                </c:pt>
                <c:pt idx="22">
                  <c:v>89.937928677195231</c:v>
                </c:pt>
                <c:pt idx="23">
                  <c:v>99.09958097956563</c:v>
                </c:pt>
                <c:pt idx="24">
                  <c:v>108.6352680851124</c:v>
                </c:pt>
                <c:pt idx="25">
                  <c:v>118.53926140633141</c:v>
                </c:pt>
                <c:pt idx="26">
                  <c:v>128.80618976564071</c:v>
                </c:pt>
                <c:pt idx="27">
                  <c:v>139.43100214485636</c:v>
                </c:pt>
                <c:pt idx="28">
                  <c:v>150.40893571695369</c:v>
                </c:pt>
                <c:pt idx="29">
                  <c:v>161.73548823166479</c:v>
                </c:pt>
                <c:pt idx="30">
                  <c:v>173.40639401826172</c:v>
                </c:pt>
                <c:pt idx="31">
                  <c:v>185.41760301567609</c:v>
                </c:pt>
                <c:pt idx="32">
                  <c:v>197.76526235361482</c:v>
                </c:pt>
                <c:pt idx="33">
                  <c:v>210.44570009693811</c:v>
                </c:pt>
                <c:pt idx="34">
                  <c:v>223.45541083534806</c:v>
                </c:pt>
                <c:pt idx="35">
                  <c:v>236.79104285585518</c:v>
                </c:pt>
                <c:pt idx="36">
                  <c:v>250.44938667984488</c:v>
                </c:pt>
                <c:pt idx="37">
                  <c:v>264.42736478232564</c:v>
                </c:pt>
                <c:pt idx="38">
                  <c:v>278.72202233997177</c:v>
                </c:pt>
                <c:pt idx="39">
                  <c:v>293.33051887829163</c:v>
                </c:pt>
                <c:pt idx="40">
                  <c:v>308.25012070775119</c:v>
                </c:pt>
                <c:pt idx="41">
                  <c:v>323.47819405480442</c:v>
                </c:pt>
                <c:pt idx="42">
                  <c:v>339.01219880718105</c:v>
                </c:pt>
                <c:pt idx="43">
                  <c:v>354.84968280398243</c:v>
                </c:pt>
                <c:pt idx="44">
                  <c:v>370.98827661053616</c:v>
                </c:pt>
                <c:pt idx="45">
                  <c:v>387.4256887258918</c:v>
                </c:pt>
                <c:pt idx="46">
                  <c:v>404.15970117755904</c:v>
                </c:pt>
                <c:pt idx="47">
                  <c:v>421.18816546380668</c:v>
                </c:pt>
                <c:pt idx="48">
                  <c:v>438.50899880872259</c:v>
                </c:pt>
                <c:pt idx="49">
                  <c:v>456.12018069942212</c:v>
                </c:pt>
                <c:pt idx="50">
                  <c:v>474.0197496783947</c:v>
                </c:pt>
                <c:pt idx="51">
                  <c:v>492.20580036708867</c:v>
                </c:pt>
                <c:pt idx="52">
                  <c:v>510.67648069952895</c:v>
                </c:pt>
                <c:pt idx="53">
                  <c:v>529.42998934710408</c:v>
                </c:pt>
                <c:pt idx="54">
                  <c:v>548.4645733177008</c:v>
                </c:pt>
                <c:pt idx="55">
                  <c:v>567.77852571414735</c:v>
                </c:pt>
                <c:pt idx="56">
                  <c:v>587.37018363849245</c:v>
                </c:pt>
                <c:pt idx="57">
                  <c:v>607.23792623002134</c:v>
                </c:pt>
                <c:pt idx="58">
                  <c:v>627.38017282612077</c:v>
                </c:pt>
                <c:pt idx="59">
                  <c:v>647.79538123617658</c:v>
                </c:pt>
                <c:pt idx="60">
                  <c:v>668.48204611963399</c:v>
                </c:pt>
                <c:pt idx="61">
                  <c:v>689.43869746019266</c:v>
                </c:pt>
                <c:pt idx="62">
                  <c:v>710.66389912885575</c:v>
                </c:pt>
                <c:pt idx="63">
                  <c:v>732.15624752921951</c:v>
                </c:pt>
                <c:pt idx="64">
                  <c:v>753.91437031898545</c:v>
                </c:pt>
                <c:pt idx="65">
                  <c:v>775.93692520220975</c:v>
                </c:pt>
                <c:pt idx="66">
                  <c:v>798.22259878728198</c:v>
                </c:pt>
                <c:pt idx="67">
                  <c:v>820.77010550605644</c:v>
                </c:pt>
                <c:pt idx="68">
                  <c:v>843.57818658994222</c:v>
                </c:pt>
                <c:pt idx="69">
                  <c:v>866.64560909910949</c:v>
                </c:pt>
                <c:pt idx="70">
                  <c:v>889.97116500128232</c:v>
                </c:pt>
                <c:pt idx="71">
                  <c:v>913.55367029687261</c:v>
                </c:pt>
                <c:pt idx="72">
                  <c:v>937.39196418746724</c:v>
                </c:pt>
                <c:pt idx="73">
                  <c:v>961.48490828491538</c:v>
                </c:pt>
                <c:pt idx="74">
                  <c:v>985.83138585847291</c:v>
                </c:pt>
                <c:pt idx="75">
                  <c:v>1010.4303011176562</c:v>
                </c:pt>
                <c:pt idx="76">
                  <c:v>1035.2805785286318</c:v>
                </c:pt>
                <c:pt idx="77">
                  <c:v>1060.3811621621301</c:v>
                </c:pt>
                <c:pt idx="78">
                  <c:v>1085.7310150710173</c:v>
                </c:pt>
                <c:pt idx="79">
                  <c:v>1111.329118695794</c:v>
                </c:pt>
                <c:pt idx="80">
                  <c:v>1137.1744722964113</c:v>
                </c:pt>
                <c:pt idx="81">
                  <c:v>1163.2660924089087</c:v>
                </c:pt>
                <c:pt idx="82">
                  <c:v>1189.6030123254809</c:v>
                </c:pt>
                <c:pt idx="83">
                  <c:v>1216.1842815966759</c:v>
                </c:pt>
                <c:pt idx="84">
                  <c:v>1243.0089655545121</c:v>
                </c:pt>
                <c:pt idx="85">
                  <c:v>1270.0761448553887</c:v>
                </c:pt>
                <c:pt idx="86">
                  <c:v>1297.3849150417282</c:v>
                </c:pt>
                <c:pt idx="87">
                  <c:v>1324.9343861213679</c:v>
                </c:pt>
                <c:pt idx="88">
                  <c:v>1352.7236821637755</c:v>
                </c:pt>
                <c:pt idx="89">
                  <c:v>1380.7519409122222</c:v>
                </c:pt>
                <c:pt idx="90">
                  <c:v>1409.0183134111028</c:v>
                </c:pt>
                <c:pt idx="91">
                  <c:v>1437.5219636476422</c:v>
                </c:pt>
                <c:pt idx="92">
                  <c:v>1466.2620682072734</c:v>
                </c:pt>
                <c:pt idx="93">
                  <c:v>1495.237815942015</c:v>
                </c:pt>
                <c:pt idx="94">
                  <c:v>1524.4484076512185</c:v>
                </c:pt>
                <c:pt idx="95">
                  <c:v>1553.8930557740905</c:v>
                </c:pt>
                <c:pt idx="96">
                  <c:v>1583.5709840934303</c:v>
                </c:pt>
                <c:pt idx="97">
                  <c:v>1613.4814274500575</c:v>
                </c:pt>
                <c:pt idx="98">
                  <c:v>1643.6236314674318</c:v>
                </c:pt>
                <c:pt idx="99">
                  <c:v>1673.9968522859965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A0-6443-93AC-E25C6BDBA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796943"/>
        <c:axId val="1"/>
      </c:lineChart>
      <c:catAx>
        <c:axId val="682796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2796943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5932685859062568"/>
          <c:y val="0.52770371130318805"/>
          <c:w val="0.31231277478327824"/>
          <c:h val="9.772294749801224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Canopy Mass over Time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ymbol val="none"/>
          </c:marker>
          <c:val>
            <c:numRef>
              <c:f>'Simulate growth'!$I$2:$I$101</c:f>
              <c:numCache>
                <c:formatCode>General</c:formatCode>
                <c:ptCount val="100"/>
                <c:pt idx="0">
                  <c:v>2.6999999999999911E-7</c:v>
                </c:pt>
                <c:pt idx="1">
                  <c:v>1.4054090279208459E-4</c:v>
                </c:pt>
                <c:pt idx="2">
                  <c:v>4.3158350318561935E-3</c:v>
                </c:pt>
                <c:pt idx="3">
                  <c:v>3.1774614437119326E-2</c:v>
                </c:pt>
                <c:pt idx="4">
                  <c:v>0.11410112868965228</c:v>
                </c:pt>
                <c:pt idx="5">
                  <c:v>0.28040602493869327</c:v>
                </c:pt>
                <c:pt idx="6">
                  <c:v>0.55310192337073327</c:v>
                </c:pt>
                <c:pt idx="7">
                  <c:v>0.94932376402044238</c:v>
                </c:pt>
                <c:pt idx="8">
                  <c:v>1.482626070864542</c:v>
                </c:pt>
                <c:pt idx="9">
                  <c:v>2.1641215297926508</c:v>
                </c:pt>
                <c:pt idx="10">
                  <c:v>3.0031959344835992</c:v>
                </c:pt>
                <c:pt idx="11">
                  <c:v>3.6854950092991308</c:v>
                </c:pt>
                <c:pt idx="12">
                  <c:v>4.4365851296655423</c:v>
                </c:pt>
                <c:pt idx="13">
                  <c:v>5.2216190544643313</c:v>
                </c:pt>
                <c:pt idx="14">
                  <c:v>6.0374139272073002</c:v>
                </c:pt>
                <c:pt idx="15">
                  <c:v>6.8813959059328793</c:v>
                </c:pt>
                <c:pt idx="16">
                  <c:v>7.7514377331063358</c:v>
                </c:pt>
                <c:pt idx="17">
                  <c:v>8.6457494864957063</c:v>
                </c:pt>
                <c:pt idx="18">
                  <c:v>9.5628024287722226</c:v>
                </c:pt>
                <c:pt idx="19">
                  <c:v>10.501274307610604</c:v>
                </c:pt>
                <c:pt idx="20">
                  <c:v>11.460009044170247</c:v>
                </c:pt>
                <c:pt idx="21">
                  <c:v>12.437986362508108</c:v>
                </c:pt>
                <c:pt idx="22">
                  <c:v>13.434298465498784</c:v>
                </c:pt>
                <c:pt idx="23">
                  <c:v>14.448131818773227</c:v>
                </c:pt>
                <c:pt idx="24">
                  <c:v>15.478752711288813</c:v>
                </c:pt>
                <c:pt idx="25">
                  <c:v>16.525495657496709</c:v>
                </c:pt>
                <c:pt idx="26">
                  <c:v>17.587753971263197</c:v>
                </c:pt>
                <c:pt idx="27">
                  <c:v>18.664972023067474</c:v>
                </c:pt>
                <c:pt idx="28">
                  <c:v>19.756638818504005</c:v>
                </c:pt>
                <c:pt idx="29">
                  <c:v>20.862282625942782</c:v>
                </c:pt>
                <c:pt idx="30">
                  <c:v>21.981466446018946</c:v>
                </c:pt>
                <c:pt idx="31">
                  <c:v>23.113784163090227</c:v>
                </c:pt>
                <c:pt idx="32">
                  <c:v>24.258857254033259</c:v>
                </c:pt>
                <c:pt idx="33">
                  <c:v>25.4163319562251</c:v>
                </c:pt>
                <c:pt idx="34">
                  <c:v>26.585876816681605</c:v>
                </c:pt>
                <c:pt idx="35">
                  <c:v>27.767180559782137</c:v>
                </c:pt>
                <c:pt idx="36">
                  <c:v>28.959950223000266</c:v>
                </c:pt>
                <c:pt idx="37">
                  <c:v>30.163909519447643</c:v>
                </c:pt>
                <c:pt idx="38">
                  <c:v>31.378797393444774</c:v>
                </c:pt>
                <c:pt idx="39">
                  <c:v>32.604366741230031</c:v>
                </c:pt>
                <c:pt idx="40">
                  <c:v>33.840383273641265</c:v>
                </c:pt>
                <c:pt idx="41">
                  <c:v>35.086624501420154</c:v>
                </c:pt>
                <c:pt idx="42">
                  <c:v>36.34287882688659</c:v>
                </c:pt>
                <c:pt idx="43">
                  <c:v>37.60894472826363</c:v>
                </c:pt>
                <c:pt idx="44">
                  <c:v>38.884630025016023</c:v>
                </c:pt>
                <c:pt idx="45">
                  <c:v>40.169751214285945</c:v>
                </c:pt>
                <c:pt idx="46">
                  <c:v>41.464132869941125</c:v>
                </c:pt>
                <c:pt idx="47">
                  <c:v>42.767607096943443</c:v>
                </c:pt>
                <c:pt idx="48">
                  <c:v>44.080013034749221</c:v>
                </c:pt>
                <c:pt idx="49">
                  <c:v>45.401196404296229</c:v>
                </c:pt>
                <c:pt idx="50">
                  <c:v>46.731009093846978</c:v>
                </c:pt>
                <c:pt idx="51">
                  <c:v>48.069308779564565</c:v>
                </c:pt>
                <c:pt idx="52">
                  <c:v>49.41595857721552</c:v>
                </c:pt>
                <c:pt idx="53">
                  <c:v>50.770826721836407</c:v>
                </c:pt>
                <c:pt idx="54">
                  <c:v>52.133786272582505</c:v>
                </c:pt>
                <c:pt idx="55">
                  <c:v>53.504714840303599</c:v>
                </c:pt>
                <c:pt idx="56">
                  <c:v>54.88349433567609</c:v>
                </c:pt>
                <c:pt idx="57">
                  <c:v>56.27001073596707</c:v>
                </c:pt>
                <c:pt idx="58">
                  <c:v>57.66415386871892</c:v>
                </c:pt>
                <c:pt idx="59">
                  <c:v>59.065817210829152</c:v>
                </c:pt>
                <c:pt idx="60">
                  <c:v>60.474897701664844</c:v>
                </c:pt>
                <c:pt idx="61">
                  <c:v>61.891295568993186</c:v>
                </c:pt>
                <c:pt idx="62">
                  <c:v>63.314914166634139</c:v>
                </c:pt>
                <c:pt idx="63">
                  <c:v>64.74565982285479</c:v>
                </c:pt>
                <c:pt idx="64">
                  <c:v>66.183441698619234</c:v>
                </c:pt>
                <c:pt idx="65">
                  <c:v>67.628171654898665</c:v>
                </c:pt>
                <c:pt idx="66">
                  <c:v>69.079764128318104</c:v>
                </c:pt>
                <c:pt idx="67">
                  <c:v>70.538136014489439</c:v>
                </c:pt>
                <c:pt idx="68">
                  <c:v>72.003206558437711</c:v>
                </c:pt>
                <c:pt idx="69">
                  <c:v>73.47489725158357</c:v>
                </c:pt>
                <c:pt idx="70">
                  <c:v>74.953131734792393</c:v>
                </c:pt>
                <c:pt idx="71">
                  <c:v>76.437835707045608</c:v>
                </c:pt>
                <c:pt idx="72">
                  <c:v>77.928936839325715</c:v>
                </c:pt>
                <c:pt idx="73">
                  <c:v>79.426364693346102</c:v>
                </c:pt>
                <c:pt idx="74">
                  <c:v>80.930050644782938</c:v>
                </c:pt>
                <c:pt idx="75">
                  <c:v>82.439927810700041</c:v>
                </c:pt>
                <c:pt idx="76">
                  <c:v>83.955930980878946</c:v>
                </c:pt>
                <c:pt idx="77">
                  <c:v>85.477996552793087</c:v>
                </c:pt>
                <c:pt idx="78">
                  <c:v>87.006062469984172</c:v>
                </c:pt>
                <c:pt idx="79">
                  <c:v>88.540068163617491</c:v>
                </c:pt>
                <c:pt idx="80">
                  <c:v>90.079954497012736</c:v>
                </c:pt>
                <c:pt idx="81">
                  <c:v>91.625663712959422</c:v>
                </c:pt>
                <c:pt idx="82">
                  <c:v>93.177139383643762</c:v>
                </c:pt>
                <c:pt idx="83">
                  <c:v>94.734326363023285</c:v>
                </c:pt>
                <c:pt idx="84">
                  <c:v>96.297170741501375</c:v>
                </c:pt>
                <c:pt idx="85">
                  <c:v>97.865619802761728</c:v>
                </c:pt>
                <c:pt idx="86">
                  <c:v>99.439621982633696</c:v>
                </c:pt>
                <c:pt idx="87">
                  <c:v>101.01912682987</c:v>
                </c:pt>
                <c:pt idx="88">
                  <c:v>102.60408496872527</c:v>
                </c:pt>
                <c:pt idx="89">
                  <c:v>104.19444806323057</c:v>
                </c:pt>
                <c:pt idx="90">
                  <c:v>105.79016878306926</c:v>
                </c:pt>
                <c:pt idx="91">
                  <c:v>107.39120077096472</c:v>
                </c:pt>
                <c:pt idx="92">
                  <c:v>108.99749861149327</c:v>
                </c:pt>
                <c:pt idx="93">
                  <c:v>110.6090178012478</c:v>
                </c:pt>
                <c:pt idx="94">
                  <c:v>112.22571472027617</c:v>
                </c:pt>
                <c:pt idx="95">
                  <c:v>113.84754660472778</c:v>
                </c:pt>
                <c:pt idx="96">
                  <c:v>115.47447152064251</c:v>
                </c:pt>
                <c:pt idx="97">
                  <c:v>117.10644833882489</c:v>
                </c:pt>
                <c:pt idx="98">
                  <c:v>118.74343671074449</c:v>
                </c:pt>
                <c:pt idx="99">
                  <c:v>120.38539704541124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64-2A49-93C2-E5F1E6126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697439"/>
        <c:axId val="1"/>
      </c:lineChart>
      <c:catAx>
        <c:axId val="682697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2697439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4986263940982136"/>
          <c:y val="0.53026704402163261"/>
          <c:w val="0.31546734891577033"/>
          <c:h val="0.1067652086193852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DBH over Time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ymbol val="none"/>
          </c:marker>
          <c:val>
            <c:numRef>
              <c:f>'Simulate growth'!$J$2:$J$101</c:f>
              <c:numCache>
                <c:formatCode>General</c:formatCode>
                <c:ptCount val="100"/>
                <c:pt idx="0">
                  <c:v>5.7842341374131519E-4</c:v>
                </c:pt>
                <c:pt idx="1">
                  <c:v>1.8126743050040194E-3</c:v>
                </c:pt>
                <c:pt idx="2">
                  <c:v>6.5470109143905024E-3</c:v>
                </c:pt>
                <c:pt idx="3">
                  <c:v>1.3841203694175212E-2</c:v>
                </c:pt>
                <c:pt idx="4">
                  <c:v>2.2355144383049554E-2</c:v>
                </c:pt>
                <c:pt idx="5">
                  <c:v>3.1319441163580798E-2</c:v>
                </c:pt>
                <c:pt idx="6">
                  <c:v>4.040598420467259E-2</c:v>
                </c:pt>
                <c:pt idx="7">
                  <c:v>4.947936685086516E-2</c:v>
                </c:pt>
                <c:pt idx="8">
                  <c:v>5.8483130781756661E-2</c:v>
                </c:pt>
                <c:pt idx="9">
                  <c:v>6.7394486491961558E-2</c:v>
                </c:pt>
                <c:pt idx="10">
                  <c:v>7.6205729831329991E-2</c:v>
                </c:pt>
                <c:pt idx="11">
                  <c:v>8.4916141605412526E-2</c:v>
                </c:pt>
                <c:pt idx="12">
                  <c:v>9.3167994792704711E-2</c:v>
                </c:pt>
                <c:pt idx="13">
                  <c:v>0.10107527488717094</c:v>
                </c:pt>
                <c:pt idx="14">
                  <c:v>0.10868455086492253</c:v>
                </c:pt>
                <c:pt idx="15">
                  <c:v>0.11603275695044417</c:v>
                </c:pt>
                <c:pt idx="16">
                  <c:v>0.12314973176722101</c:v>
                </c:pt>
                <c:pt idx="17">
                  <c:v>0.13005997394050425</c:v>
                </c:pt>
                <c:pt idx="18">
                  <c:v>0.13678388369578548</c:v>
                </c:pt>
                <c:pt idx="19">
                  <c:v>0.14333866007261284</c:v>
                </c:pt>
                <c:pt idx="20">
                  <c:v>0.14973896228286906</c:v>
                </c:pt>
                <c:pt idx="21">
                  <c:v>0.15599740609784188</c:v>
                </c:pt>
                <c:pt idx="22">
                  <c:v>0.16212494255269611</c:v>
                </c:pt>
                <c:pt idx="23">
                  <c:v>0.1681311511685207</c:v>
                </c:pt>
                <c:pt idx="24">
                  <c:v>0.17402447004447597</c:v>
                </c:pt>
                <c:pt idx="25">
                  <c:v>0.17981237861670674</c:v>
                </c:pt>
                <c:pt idx="26">
                  <c:v>0.18550154443360864</c:v>
                </c:pt>
                <c:pt idx="27">
                  <c:v>0.19109794222699752</c:v>
                </c:pt>
                <c:pt idx="28">
                  <c:v>0.19660695140444884</c:v>
                </c:pt>
                <c:pt idx="29">
                  <c:v>0.20203343655330971</c:v>
                </c:pt>
                <c:pt idx="30">
                  <c:v>0.20738181443801257</c:v>
                </c:pt>
                <c:pt idx="31">
                  <c:v>0.21265611016064123</c:v>
                </c:pt>
                <c:pt idx="32">
                  <c:v>0.21786000455333263</c:v>
                </c:pt>
                <c:pt idx="33">
                  <c:v>0.2229968744204949</c:v>
                </c:pt>
                <c:pt idx="34">
                  <c:v>0.22806982690764113</c:v>
                </c:pt>
                <c:pt idx="35">
                  <c:v>0.23308172901275154</c:v>
                </c:pt>
                <c:pt idx="36">
                  <c:v>0.23803523305476293</c:v>
                </c:pt>
                <c:pt idx="37">
                  <c:v>0.24293279875711055</c:v>
                </c:pt>
                <c:pt idx="38">
                  <c:v>0.2477767124813067</c:v>
                </c:pt>
                <c:pt idx="39">
                  <c:v>0.25256910404837296</c:v>
                </c:pt>
                <c:pt idx="40">
                  <c:v>0.25731196150856467</c:v>
                </c:pt>
                <c:pt idx="41">
                  <c:v>0.2620071441578169</c:v>
                </c:pt>
                <c:pt idx="42">
                  <c:v>0.26665639404932107</c:v>
                </c:pt>
                <c:pt idx="43">
                  <c:v>0.27126134620804848</c:v>
                </c:pt>
                <c:pt idx="44">
                  <c:v>0.27582353772292145</c:v>
                </c:pt>
                <c:pt idx="45">
                  <c:v>0.28034441586415021</c:v>
                </c:pt>
                <c:pt idx="46">
                  <c:v>0.28482534535085291</c:v>
                </c:pt>
                <c:pt idx="47">
                  <c:v>0.28926761487549707</c:v>
                </c:pt>
                <c:pt idx="48">
                  <c:v>0.29367244297625161</c:v>
                </c:pt>
                <c:pt idx="49">
                  <c:v>0.29804098333540657</c:v>
                </c:pt>
                <c:pt idx="50">
                  <c:v>0.3023743295711685</c:v>
                </c:pt>
                <c:pt idx="51">
                  <c:v>0.30667351958098948</c:v>
                </c:pt>
                <c:pt idx="52">
                  <c:v>0.31093953948684494</c:v>
                </c:pt>
                <c:pt idx="53">
                  <c:v>0.31517332722630143</c:v>
                </c:pt>
                <c:pt idx="54">
                  <c:v>0.31937577582760951</c:v>
                </c:pt>
                <c:pt idx="55">
                  <c:v>0.32354773640226381</c:v>
                </c:pt>
                <c:pt idx="56">
                  <c:v>0.32769002088436006</c:v>
                </c:pt>
                <c:pt idx="57">
                  <c:v>0.33180340454254309</c:v>
                </c:pt>
                <c:pt idx="58">
                  <c:v>0.3358886282872805</c:v>
                </c:pt>
                <c:pt idx="59">
                  <c:v>0.3399464007935542</c:v>
                </c:pt>
                <c:pt idx="60">
                  <c:v>0.343977400456769</c:v>
                </c:pt>
                <c:pt idx="61">
                  <c:v>0.34798227719767899</c:v>
                </c:pt>
                <c:pt idx="62">
                  <c:v>0.35196165413038566</c:v>
                </c:pt>
                <c:pt idx="63">
                  <c:v>0.35591612910594456</c:v>
                </c:pt>
                <c:pt idx="64">
                  <c:v>0.35984627614277215</c:v>
                </c:pt>
                <c:pt idx="65">
                  <c:v>0.36375264675388125</c:v>
                </c:pt>
                <c:pt idx="66">
                  <c:v>0.36763577117992358</c:v>
                </c:pt>
                <c:pt idx="67">
                  <c:v>0.37149615953612231</c:v>
                </c:pt>
                <c:pt idx="68">
                  <c:v>0.37533430288035557</c:v>
                </c:pt>
                <c:pt idx="69">
                  <c:v>0.37915067420894594</c:v>
                </c:pt>
                <c:pt idx="70">
                  <c:v>0.38294572938606924</c:v>
                </c:pt>
                <c:pt idx="71">
                  <c:v>0.38671990801213646</c:v>
                </c:pt>
                <c:pt idx="72">
                  <c:v>0.39047363423599213</c:v>
                </c:pt>
                <c:pt idx="73">
                  <c:v>0.39420731751533183</c:v>
                </c:pt>
                <c:pt idx="74">
                  <c:v>0.39792135332932921</c:v>
                </c:pt>
                <c:pt idx="75">
                  <c:v>0.40161612384711137</c:v>
                </c:pt>
                <c:pt idx="76">
                  <c:v>0.40529199855539216</c:v>
                </c:pt>
                <c:pt idx="77">
                  <c:v>0.40894933484828655</c:v>
                </c:pt>
                <c:pt idx="78">
                  <c:v>0.41258847858206693</c:v>
                </c:pt>
                <c:pt idx="79">
                  <c:v>0.41620976459738196</c:v>
                </c:pt>
                <c:pt idx="80">
                  <c:v>0.41981351721125632</c:v>
                </c:pt>
                <c:pt idx="81">
                  <c:v>0.42340005068098385</c:v>
                </c:pt>
                <c:pt idx="82">
                  <c:v>0.42696966964186767</c:v>
                </c:pt>
                <c:pt idx="83">
                  <c:v>0.43052266952058693</c:v>
                </c:pt>
                <c:pt idx="84">
                  <c:v>0.4340593369258432</c:v>
                </c:pt>
                <c:pt idx="85">
                  <c:v>0.43757995001779648</c:v>
                </c:pt>
                <c:pt idx="86">
                  <c:v>0.44108477885768793</c:v>
                </c:pt>
                <c:pt idx="87">
                  <c:v>0.44457408573894092</c:v>
                </c:pt>
                <c:pt idx="88">
                  <c:v>0.44804812550093015</c:v>
                </c:pt>
                <c:pt idx="89">
                  <c:v>0.45150714582651691</c:v>
                </c:pt>
                <c:pt idx="90">
                  <c:v>0.45495138752437375</c:v>
                </c:pt>
                <c:pt idx="91">
                  <c:v>0.45838108479704259</c:v>
                </c:pt>
                <c:pt idx="92">
                  <c:v>0.46179646549559683</c:v>
                </c:pt>
                <c:pt idx="93">
                  <c:v>0.46519775136172631</c:v>
                </c:pt>
                <c:pt idx="94">
                  <c:v>0.46858515825799557</c:v>
                </c:pt>
                <c:pt idx="95">
                  <c:v>0.47195889638697897</c:v>
                </c:pt>
                <c:pt idx="96">
                  <c:v>0.47531917049992345</c:v>
                </c:pt>
                <c:pt idx="97">
                  <c:v>0.47866618009555056</c:v>
                </c:pt>
                <c:pt idx="98">
                  <c:v>0.4820001196095603</c:v>
                </c:pt>
                <c:pt idx="99">
                  <c:v>0.48532117859536678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77-1444-9B66-75FCF86D2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1751408"/>
        <c:axId val="1"/>
      </c:lineChart>
      <c:catAx>
        <c:axId val="1491751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75140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9622396092893446"/>
          <c:y val="0.54073354022929543"/>
          <c:w val="0.27532492773846307"/>
          <c:h val="6.189130267511344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Growth/yr over Time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ymbol val="none"/>
          </c:marker>
          <c:val>
            <c:numRef>
              <c:f>'Simulate growth'!$B$2:$B$101</c:f>
              <c:numCache>
                <c:formatCode>General</c:formatCode>
                <c:ptCount val="100"/>
                <c:pt idx="0">
                  <c:v>2.6999999999999999E-5</c:v>
                </c:pt>
                <c:pt idx="1">
                  <c:v>6.6929201396042292E-4</c:v>
                </c:pt>
                <c:pt idx="2">
                  <c:v>2.0876470645320545E-2</c:v>
                </c:pt>
                <c:pt idx="3">
                  <c:v>0.13729389702631564</c:v>
                </c:pt>
                <c:pt idx="4">
                  <c:v>0.41163257126266478</c:v>
                </c:pt>
                <c:pt idx="5">
                  <c:v>0.83152448124520506</c:v>
                </c:pt>
                <c:pt idx="6">
                  <c:v>1.3634794921602</c:v>
                </c:pt>
                <c:pt idx="7">
                  <c:v>1.9811092032485451</c:v>
                </c:pt>
                <c:pt idx="8">
                  <c:v>2.6665115342204988</c:v>
                </c:pt>
                <c:pt idx="9">
                  <c:v>3.4074772946405441</c:v>
                </c:pt>
                <c:pt idx="10">
                  <c:v>4.1953720234547411</c:v>
                </c:pt>
                <c:pt idx="11">
                  <c:v>5.0238491419194471</c:v>
                </c:pt>
                <c:pt idx="12">
                  <c:v>5.6226141057964147</c:v>
                </c:pt>
                <c:pt idx="13">
                  <c:v>6.2264775031112212</c:v>
                </c:pt>
                <c:pt idx="14">
                  <c:v>6.8101773856129739</c:v>
                </c:pt>
                <c:pt idx="15">
                  <c:v>7.3762155014162625</c:v>
                </c:pt>
                <c:pt idx="16">
                  <c:v>7.926613312357345</c:v>
                </c:pt>
                <c:pt idx="17">
                  <c:v>8.4630287690544872</c:v>
                </c:pt>
                <c:pt idx="18">
                  <c:v>8.9868403974075601</c:v>
                </c:pt>
                <c:pt idx="19">
                  <c:v>9.4992085714643508</c:v>
                </c:pt>
                <c:pt idx="20">
                  <c:v>10.001120831371741</c:v>
                </c:pt>
                <c:pt idx="21">
                  <c:v>10.493425920595074</c:v>
                </c:pt>
                <c:pt idx="22">
                  <c:v>10.976859733969166</c:v>
                </c:pt>
                <c:pt idx="23">
                  <c:v>11.452065377962999</c:v>
                </c:pt>
                <c:pt idx="24">
                  <c:v>11.919608881933467</c:v>
                </c:pt>
                <c:pt idx="25">
                  <c:v>12.379991651523749</c:v>
                </c:pt>
                <c:pt idx="26">
                  <c:v>12.83366044913663</c:v>
                </c:pt>
                <c:pt idx="27">
                  <c:v>13.281015474019554</c:v>
                </c:pt>
                <c:pt idx="28">
                  <c:v>13.722416965121649</c:v>
                </c:pt>
                <c:pt idx="29">
                  <c:v>14.158190643388876</c:v>
                </c:pt>
                <c:pt idx="30">
                  <c:v>14.588632233246182</c:v>
                </c:pt>
                <c:pt idx="31">
                  <c:v>15.01401124676795</c:v>
                </c:pt>
                <c:pt idx="32">
                  <c:v>15.434574172423396</c:v>
                </c:pt>
                <c:pt idx="33">
                  <c:v>15.850547179154104</c:v>
                </c:pt>
                <c:pt idx="34">
                  <c:v>16.262138423012424</c:v>
                </c:pt>
                <c:pt idx="35">
                  <c:v>16.669540025633911</c:v>
                </c:pt>
                <c:pt idx="36">
                  <c:v>17.072929779987124</c:v>
                </c:pt>
                <c:pt idx="37">
                  <c:v>17.472472628100977</c:v>
                </c:pt>
                <c:pt idx="38">
                  <c:v>17.868321947057698</c:v>
                </c:pt>
                <c:pt idx="39">
                  <c:v>18.260620672899787</c:v>
                </c:pt>
                <c:pt idx="40">
                  <c:v>18.649502286824482</c:v>
                </c:pt>
                <c:pt idx="41">
                  <c:v>19.035091683816525</c:v>
                </c:pt>
                <c:pt idx="42">
                  <c:v>19.417505940470779</c:v>
                </c:pt>
                <c:pt idx="43">
                  <c:v>19.796854996001738</c:v>
                </c:pt>
                <c:pt idx="44">
                  <c:v>20.173242258192168</c:v>
                </c:pt>
                <c:pt idx="45">
                  <c:v>20.54676514419452</c:v>
                </c:pt>
                <c:pt idx="46">
                  <c:v>20.917515564584058</c:v>
                </c:pt>
                <c:pt idx="47">
                  <c:v>21.285580357809582</c:v>
                </c:pt>
                <c:pt idx="48">
                  <c:v>21.651041681144882</c:v>
                </c:pt>
                <c:pt idx="49">
                  <c:v>22.013977363374391</c:v>
                </c:pt>
                <c:pt idx="50">
                  <c:v>22.374461223715716</c:v>
                </c:pt>
                <c:pt idx="51">
                  <c:v>22.732563360867456</c:v>
                </c:pt>
                <c:pt idx="52">
                  <c:v>23.08835041555032</c:v>
                </c:pt>
                <c:pt idx="53">
                  <c:v>23.441885809468982</c:v>
                </c:pt>
                <c:pt idx="54">
                  <c:v>23.793229963245938</c:v>
                </c:pt>
                <c:pt idx="55">
                  <c:v>24.142440495558144</c:v>
                </c:pt>
                <c:pt idx="56">
                  <c:v>24.489572405431399</c:v>
                </c:pt>
                <c:pt idx="57">
                  <c:v>24.834678239411161</c:v>
                </c:pt>
                <c:pt idx="58">
                  <c:v>25.177808245124343</c:v>
                </c:pt>
                <c:pt idx="59">
                  <c:v>25.519010512569789</c:v>
                </c:pt>
                <c:pt idx="60">
                  <c:v>25.858331104321817</c:v>
                </c:pt>
                <c:pt idx="61">
                  <c:v>26.19581417569837</c:v>
                </c:pt>
                <c:pt idx="62">
                  <c:v>26.531502085828876</c:v>
                </c:pt>
                <c:pt idx="63">
                  <c:v>26.865435500454726</c:v>
                </c:pt>
                <c:pt idx="64">
                  <c:v>27.197653487207482</c:v>
                </c:pt>
                <c:pt idx="65">
                  <c:v>27.52819360403031</c:v>
                </c:pt>
                <c:pt idx="66">
                  <c:v>27.857091981340325</c:v>
                </c:pt>
                <c:pt idx="67">
                  <c:v>28.184383398468078</c:v>
                </c:pt>
                <c:pt idx="68">
                  <c:v>28.510101354857181</c:v>
                </c:pt>
                <c:pt idx="69">
                  <c:v>28.834278136459062</c:v>
                </c:pt>
                <c:pt idx="70">
                  <c:v>29.156944877716061</c:v>
                </c:pt>
                <c:pt idx="71">
                  <c:v>29.478131619487801</c:v>
                </c:pt>
                <c:pt idx="72">
                  <c:v>29.797867363243309</c:v>
                </c:pt>
                <c:pt idx="73">
                  <c:v>30.116180121810203</c:v>
                </c:pt>
                <c:pt idx="74">
                  <c:v>30.433096966946977</c:v>
                </c:pt>
                <c:pt idx="75">
                  <c:v>30.748644073979108</c:v>
                </c:pt>
                <c:pt idx="76">
                  <c:v>31.062846763719453</c:v>
                </c:pt>
                <c:pt idx="77">
                  <c:v>31.375729541872847</c:v>
                </c:pt>
                <c:pt idx="78">
                  <c:v>31.687316136109008</c:v>
                </c:pt>
                <c:pt idx="79">
                  <c:v>31.997629530970833</c:v>
                </c:pt>
                <c:pt idx="80">
                  <c:v>32.306692000771505</c:v>
                </c:pt>
                <c:pt idx="81">
                  <c:v>32.61452514062168</c:v>
                </c:pt>
                <c:pt idx="82">
                  <c:v>32.921149895715303</c:v>
                </c:pt>
                <c:pt idx="83">
                  <c:v>33.226586588993584</c:v>
                </c:pt>
                <c:pt idx="84">
                  <c:v>33.53085494729541</c:v>
                </c:pt>
                <c:pt idx="85">
                  <c:v>33.833974126095761</c:v>
                </c:pt>
                <c:pt idx="86">
                  <c:v>34.13596273292427</c:v>
                </c:pt>
                <c:pt idx="87">
                  <c:v>34.436838849549694</c:v>
                </c:pt>
                <c:pt idx="88">
                  <c:v>34.736620053009638</c:v>
                </c:pt>
                <c:pt idx="89">
                  <c:v>35.035323435558432</c:v>
                </c:pt>
                <c:pt idx="90">
                  <c:v>35.332965623600799</c:v>
                </c:pt>
                <c:pt idx="91">
                  <c:v>35.629562795674303</c:v>
                </c:pt>
                <c:pt idx="92">
                  <c:v>35.925130699538947</c:v>
                </c:pt>
                <c:pt idx="93">
                  <c:v>36.219684668427028</c:v>
                </c:pt>
                <c:pt idx="94">
                  <c:v>36.513239636504522</c:v>
                </c:pt>
                <c:pt idx="95">
                  <c:v>36.805810153590066</c:v>
                </c:pt>
                <c:pt idx="96">
                  <c:v>37.097410399174834</c:v>
                </c:pt>
                <c:pt idx="97">
                  <c:v>37.388054195784058</c:v>
                </c:pt>
                <c:pt idx="98">
                  <c:v>37.677755021717779</c:v>
                </c:pt>
                <c:pt idx="99">
                  <c:v>37.966526023205866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81-C343-B751-451469912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676575"/>
        <c:axId val="1"/>
      </c:lineChart>
      <c:catAx>
        <c:axId val="682676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2676575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8456419682555447"/>
          <c:y val="0.53705417031204428"/>
          <c:w val="0.28392061402419344"/>
          <c:h val="0.1388932633420821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Summary of Tree Height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'Simulate growth'!$H$1</c:f>
              <c:strCache>
                <c:ptCount val="1"/>
                <c:pt idx="0">
                  <c:v>Hs</c:v>
                </c:pt>
              </c:strCache>
            </c:strRef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ymbol val="none"/>
          </c:marker>
          <c:val>
            <c:numRef>
              <c:f>'Simulate growth'!$H$2:$H$101</c:f>
              <c:numCache>
                <c:formatCode>General</c:formatCode>
                <c:ptCount val="100"/>
                <c:pt idx="0">
                  <c:v>5.7842341374131516E-2</c:v>
                </c:pt>
                <c:pt idx="1">
                  <c:v>0.18126743050040195</c:v>
                </c:pt>
                <c:pt idx="2">
                  <c:v>0.6547010914390502</c:v>
                </c:pt>
                <c:pt idx="3">
                  <c:v>1.3841203694175213</c:v>
                </c:pt>
                <c:pt idx="4">
                  <c:v>2.2355144383049552</c:v>
                </c:pt>
                <c:pt idx="5">
                  <c:v>3.1319441163580799</c:v>
                </c:pt>
                <c:pt idx="6">
                  <c:v>4.0405984204672594</c:v>
                </c:pt>
                <c:pt idx="7">
                  <c:v>4.9479366850865159</c:v>
                </c:pt>
                <c:pt idx="8">
                  <c:v>5.848313078175666</c:v>
                </c:pt>
                <c:pt idx="9">
                  <c:v>6.7394486491961558</c:v>
                </c:pt>
                <c:pt idx="10">
                  <c:v>7.6205729831329991</c:v>
                </c:pt>
                <c:pt idx="11">
                  <c:v>8.5450076142680267</c:v>
                </c:pt>
                <c:pt idx="12">
                  <c:v>9.3518461279241656</c:v>
                </c:pt>
                <c:pt idx="13">
                  <c:v>10.060559228736647</c:v>
                </c:pt>
                <c:pt idx="14">
                  <c:v>10.692041094572208</c:v>
                </c:pt>
                <c:pt idx="15">
                  <c:v>11.261220159948628</c:v>
                </c:pt>
                <c:pt idx="16">
                  <c:v>11.779117307110404</c:v>
                </c:pt>
                <c:pt idx="17">
                  <c:v>12.254091506914889</c:v>
                </c:pt>
                <c:pt idx="18">
                  <c:v>12.692628117216849</c:v>
                </c:pt>
                <c:pt idx="19">
                  <c:v>13.099856791703864</c:v>
                </c:pt>
                <c:pt idx="20">
                  <c:v>13.479902754728684</c:v>
                </c:pt>
                <c:pt idx="21">
                  <c:v>13.836131674795649</c:v>
                </c:pt>
                <c:pt idx="22">
                  <c:v>14.171324481039035</c:v>
                </c:pt>
                <c:pt idx="23">
                  <c:v>14.487804800951592</c:v>
                </c:pt>
                <c:pt idx="24">
                  <c:v>14.787533592221623</c:v>
                </c:pt>
                <c:pt idx="25">
                  <c:v>15.072180579288938</c:v>
                </c:pt>
                <c:pt idx="26">
                  <c:v>15.343178980719571</c:v>
                </c:pt>
                <c:pt idx="27">
                  <c:v>15.601767996219772</c:v>
                </c:pt>
                <c:pt idx="28">
                  <c:v>15.84902619007887</c:v>
                </c:pt>
                <c:pt idx="29">
                  <c:v>16.085898010249068</c:v>
                </c:pt>
                <c:pt idx="30">
                  <c:v>16.313215066207668</c:v>
                </c:pt>
                <c:pt idx="31">
                  <c:v>16.531713358759074</c:v>
                </c:pt>
                <c:pt idx="32">
                  <c:v>16.742047350180151</c:v>
                </c:pt>
                <c:pt idx="33">
                  <c:v>16.944801544055025</c:v>
                </c:pt>
                <c:pt idx="34">
                  <c:v>17.140500084629181</c:v>
                </c:pt>
                <c:pt idx="35">
                  <c:v>17.329614767952219</c:v>
                </c:pt>
                <c:pt idx="36">
                  <c:v>17.512571769468686</c:v>
                </c:pt>
                <c:pt idx="37">
                  <c:v>17.68975732674885</c:v>
                </c:pt>
                <c:pt idx="38">
                  <c:v>17.861522565896777</c:v>
                </c:pt>
                <c:pt idx="39">
                  <c:v>18.028187621697775</c:v>
                </c:pt>
                <c:pt idx="40">
                  <c:v>18.190045171799731</c:v>
                </c:pt>
                <c:pt idx="41">
                  <c:v>18.347363482010614</c:v>
                </c:pt>
                <c:pt idx="42">
                  <c:v>18.50038904155749</c:v>
                </c:pt>
                <c:pt idx="43">
                  <c:v>18.649348852724394</c:v>
                </c:pt>
                <c:pt idx="44">
                  <c:v>18.794452427795456</c:v>
                </c:pt>
                <c:pt idx="45">
                  <c:v>18.935893537020668</c:v>
                </c:pt>
                <c:pt idx="46">
                  <c:v>19.073851743897883</c:v>
                </c:pt>
                <c:pt idx="47">
                  <c:v>19.208493758045449</c:v>
                </c:pt>
                <c:pt idx="48">
                  <c:v>19.339974631034806</c:v>
                </c:pt>
                <c:pt idx="49">
                  <c:v>19.468438816533435</c:v>
                </c:pt>
                <c:pt idx="50">
                  <c:v>19.594021112800903</c:v>
                </c:pt>
                <c:pt idx="51">
                  <c:v>19.716847502845312</c:v>
                </c:pt>
                <c:pt idx="52">
                  <c:v>19.837035905275542</c:v>
                </c:pt>
                <c:pt idx="53">
                  <c:v>19.954696846989883</c:v>
                </c:pt>
                <c:pt idx="54">
                  <c:v>20.069934067254721</c:v>
                </c:pt>
                <c:pt idx="55">
                  <c:v>20.182845061393358</c:v>
                </c:pt>
                <c:pt idx="56">
                  <c:v>20.293521571179333</c:v>
                </c:pt>
                <c:pt idx="57">
                  <c:v>20.402050028076307</c:v>
                </c:pt>
                <c:pt idx="58">
                  <c:v>20.508511954656623</c:v>
                </c:pt>
                <c:pt idx="59">
                  <c:v>20.612984328841144</c:v>
                </c:pt>
                <c:pt idx="60">
                  <c:v>20.715539915013075</c:v>
                </c:pt>
                <c:pt idx="61">
                  <c:v>20.816247565552679</c:v>
                </c:pt>
                <c:pt idx="62">
                  <c:v>20.915172495904955</c:v>
                </c:pt>
                <c:pt idx="63">
                  <c:v>21.012376535917127</c:v>
                </c:pt>
                <c:pt idx="64">
                  <c:v>21.107918359858601</c:v>
                </c:pt>
                <c:pt idx="65">
                  <c:v>21.201853697254883</c:v>
                </c:pt>
                <c:pt idx="66">
                  <c:v>21.294235526422376</c:v>
                </c:pt>
                <c:pt idx="67">
                  <c:v>21.385114252378486</c:v>
                </c:pt>
                <c:pt idx="68">
                  <c:v>21.474537870615116</c:v>
                </c:pt>
                <c:pt idx="69">
                  <c:v>21.562552118061397</c:v>
                </c:pt>
                <c:pt idx="70">
                  <c:v>21.649200612418429</c:v>
                </c:pt>
                <c:pt idx="71">
                  <c:v>21.734524980923677</c:v>
                </c:pt>
                <c:pt idx="72">
                  <c:v>21.818564979492034</c:v>
                </c:pt>
                <c:pt idx="73">
                  <c:v>21.901358603083231</c:v>
                </c:pt>
                <c:pt idx="74">
                  <c:v>21.982942188058953</c:v>
                </c:pt>
                <c:pt idx="75">
                  <c:v>22.063350507216775</c:v>
                </c:pt>
                <c:pt idx="76">
                  <c:v>22.142616858120316</c:v>
                </c:pt>
                <c:pt idx="77">
                  <c:v>22.220773145284642</c:v>
                </c:pt>
                <c:pt idx="78">
                  <c:v>22.297849956722573</c:v>
                </c:pt>
                <c:pt idx="79">
                  <c:v>22.373876635309351</c:v>
                </c:pt>
                <c:pt idx="80">
                  <c:v>22.448881345380901</c:v>
                </c:pt>
                <c:pt idx="81">
                  <c:v>22.522891134942078</c:v>
                </c:pt>
                <c:pt idx="82">
                  <c:v>22.595931993827691</c:v>
                </c:pt>
                <c:pt idx="83">
                  <c:v>22.66802890812767</c:v>
                </c:pt>
                <c:pt idx="84">
                  <c:v>22.73920591116077</c:v>
                </c:pt>
                <c:pt idx="85">
                  <c:v>22.80948613125576</c:v>
                </c:pt>
                <c:pt idx="86">
                  <c:v>22.878891836576997</c:v>
                </c:pt>
                <c:pt idx="87">
                  <c:v>22.947444477210983</c:v>
                </c:pt>
                <c:pt idx="88">
                  <c:v>23.015164724712065</c:v>
                </c:pt>
                <c:pt idx="89">
                  <c:v>23.082072509289144</c:v>
                </c:pt>
                <c:pt idx="90">
                  <c:v>23.148187054800044</c:v>
                </c:pt>
                <c:pt idx="91">
                  <c:v>23.213526911706872</c:v>
                </c:pt>
                <c:pt idx="92">
                  <c:v>23.278109988133036</c:v>
                </c:pt>
                <c:pt idx="93">
                  <c:v>23.341953579151671</c:v>
                </c:pt>
                <c:pt idx="94">
                  <c:v>23.405074394424876</c:v>
                </c:pt>
                <c:pt idx="95">
                  <c:v>23.467488584303858</c:v>
                </c:pt>
                <c:pt idx="96">
                  <c:v>23.529211764491631</c:v>
                </c:pt>
                <c:pt idx="97">
                  <c:v>23.590259039362213</c:v>
                </c:pt>
                <c:pt idx="98">
                  <c:v>23.65064502402311</c:v>
                </c:pt>
                <c:pt idx="99">
                  <c:v>23.710383865201457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B2-E641-A839-17A24DB2C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1968224"/>
        <c:axId val="1"/>
      </c:lineChart>
      <c:catAx>
        <c:axId val="149196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96822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4229787128343969"/>
          <c:y val="0.56483267716535435"/>
          <c:w val="0.12934151369880031"/>
          <c:h val="8.796587926509180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</xdr:colOff>
      <xdr:row>13</xdr:row>
      <xdr:rowOff>25400</xdr:rowOff>
    </xdr:from>
    <xdr:to>
      <xdr:col>18</xdr:col>
      <xdr:colOff>698500</xdr:colOff>
      <xdr:row>25</xdr:row>
      <xdr:rowOff>127000</xdr:rowOff>
    </xdr:to>
    <xdr:graphicFrame macro="">
      <xdr:nvGraphicFramePr>
        <xdr:cNvPr id="1254" name="Chart 1">
          <a:extLst>
            <a:ext uri="{FF2B5EF4-FFF2-40B4-BE49-F238E27FC236}">
              <a16:creationId xmlns:a16="http://schemas.microsoft.com/office/drawing/2014/main" id="{3C7FF0D9-9E3B-B71A-5C91-87F37DB93D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165100</xdr:colOff>
      <xdr:row>0</xdr:row>
      <xdr:rowOff>12700</xdr:rowOff>
    </xdr:from>
    <xdr:to>
      <xdr:col>14</xdr:col>
      <xdr:colOff>0</xdr:colOff>
      <xdr:row>12</xdr:row>
      <xdr:rowOff>304800</xdr:rowOff>
    </xdr:to>
    <xdr:graphicFrame macro="">
      <xdr:nvGraphicFramePr>
        <xdr:cNvPr id="1255" name="Chart 3">
          <a:extLst>
            <a:ext uri="{FF2B5EF4-FFF2-40B4-BE49-F238E27FC236}">
              <a16:creationId xmlns:a16="http://schemas.microsoft.com/office/drawing/2014/main" id="{F30527E4-70B1-C649-033E-B34EDE881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165100</xdr:colOff>
      <xdr:row>13</xdr:row>
      <xdr:rowOff>25400</xdr:rowOff>
    </xdr:from>
    <xdr:to>
      <xdr:col>14</xdr:col>
      <xdr:colOff>0</xdr:colOff>
      <xdr:row>25</xdr:row>
      <xdr:rowOff>127000</xdr:rowOff>
    </xdr:to>
    <xdr:graphicFrame macro="">
      <xdr:nvGraphicFramePr>
        <xdr:cNvPr id="1256" name="Chart 4">
          <a:extLst>
            <a:ext uri="{FF2B5EF4-FFF2-40B4-BE49-F238E27FC236}">
              <a16:creationId xmlns:a16="http://schemas.microsoft.com/office/drawing/2014/main" id="{E61F386F-49A0-7580-C4AE-CE27A8EDF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38100</xdr:colOff>
      <xdr:row>0</xdr:row>
      <xdr:rowOff>12700</xdr:rowOff>
    </xdr:from>
    <xdr:to>
      <xdr:col>18</xdr:col>
      <xdr:colOff>698500</xdr:colOff>
      <xdr:row>12</xdr:row>
      <xdr:rowOff>304800</xdr:rowOff>
    </xdr:to>
    <xdr:graphicFrame macro="">
      <xdr:nvGraphicFramePr>
        <xdr:cNvPr id="1257" name="Chart 5">
          <a:extLst>
            <a:ext uri="{FF2B5EF4-FFF2-40B4-BE49-F238E27FC236}">
              <a16:creationId xmlns:a16="http://schemas.microsoft.com/office/drawing/2014/main" id="{8C97987F-A729-75AF-EE96-05D9A26B6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165100</xdr:colOff>
      <xdr:row>26</xdr:row>
      <xdr:rowOff>25400</xdr:rowOff>
    </xdr:from>
    <xdr:to>
      <xdr:col>14</xdr:col>
      <xdr:colOff>0</xdr:colOff>
      <xdr:row>39</xdr:row>
      <xdr:rowOff>127000</xdr:rowOff>
    </xdr:to>
    <xdr:graphicFrame macro="">
      <xdr:nvGraphicFramePr>
        <xdr:cNvPr id="1258" name="Chart 6">
          <a:extLst>
            <a:ext uri="{FF2B5EF4-FFF2-40B4-BE49-F238E27FC236}">
              <a16:creationId xmlns:a16="http://schemas.microsoft.com/office/drawing/2014/main" id="{EF1A1FFE-C903-3D00-373B-11D793F89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50800</xdr:colOff>
      <xdr:row>26</xdr:row>
      <xdr:rowOff>25400</xdr:rowOff>
    </xdr:from>
    <xdr:to>
      <xdr:col>18</xdr:col>
      <xdr:colOff>723900</xdr:colOff>
      <xdr:row>39</xdr:row>
      <xdr:rowOff>127000</xdr:rowOff>
    </xdr:to>
    <xdr:graphicFrame macro="">
      <xdr:nvGraphicFramePr>
        <xdr:cNvPr id="1259" name="Chart 6">
          <a:extLst>
            <a:ext uri="{FF2B5EF4-FFF2-40B4-BE49-F238E27FC236}">
              <a16:creationId xmlns:a16="http://schemas.microsoft.com/office/drawing/2014/main" id="{2460357E-C967-632C-67B4-86668027B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CD97-DBE5-5243-BBC4-4BC1AD2A6F8C}">
  <dimension ref="A1:S73"/>
  <sheetViews>
    <sheetView tabSelected="1" topLeftCell="A6" zoomScale="80" zoomScaleNormal="80" workbookViewId="0">
      <selection activeCell="C12" sqref="C12"/>
    </sheetView>
  </sheetViews>
  <sheetFormatPr baseColWidth="10" defaultColWidth="11" defaultRowHeight="13" x14ac:dyDescent="0.15"/>
  <cols>
    <col min="1" max="1" width="19.5" style="2" customWidth="1"/>
    <col min="2" max="2" width="7.5" customWidth="1"/>
    <col min="3" max="3" width="11" bestFit="1" customWidth="1"/>
    <col min="4" max="4" width="1.5" customWidth="1"/>
    <col min="5" max="5" width="16" customWidth="1"/>
    <col min="6" max="6" width="14.5" customWidth="1"/>
    <col min="7" max="7" width="12.5" customWidth="1"/>
    <col min="8" max="8" width="13.5" customWidth="1"/>
  </cols>
  <sheetData>
    <row r="1" spans="1:8" ht="28" x14ac:dyDescent="0.15">
      <c r="A1" s="3" t="s">
        <v>40</v>
      </c>
      <c r="E1" s="43" t="s">
        <v>49</v>
      </c>
      <c r="F1" s="44"/>
      <c r="G1" s="44"/>
      <c r="H1" s="45"/>
    </row>
    <row r="2" spans="1:8" ht="42" x14ac:dyDescent="0.15">
      <c r="A2" s="2" t="s">
        <v>0</v>
      </c>
      <c r="C2" s="23" t="s">
        <v>58</v>
      </c>
      <c r="E2" s="19" t="s">
        <v>54</v>
      </c>
      <c r="F2" s="19" t="s">
        <v>52</v>
      </c>
      <c r="G2" s="19" t="s">
        <v>53</v>
      </c>
      <c r="H2" s="19" t="s">
        <v>50</v>
      </c>
    </row>
    <row r="3" spans="1:8" x14ac:dyDescent="0.15">
      <c r="B3" s="24" t="s">
        <v>1</v>
      </c>
      <c r="C3" s="25">
        <v>0.8</v>
      </c>
      <c r="E3" s="30">
        <v>0.8</v>
      </c>
      <c r="F3" s="31">
        <v>0.86370000000000002</v>
      </c>
      <c r="G3" s="31">
        <v>0.72399999999999998</v>
      </c>
      <c r="H3" s="31" t="s">
        <v>51</v>
      </c>
    </row>
    <row r="4" spans="1:8" x14ac:dyDescent="0.15">
      <c r="B4" s="26" t="s">
        <v>2</v>
      </c>
      <c r="C4" s="20">
        <v>1</v>
      </c>
      <c r="E4" s="30">
        <v>1</v>
      </c>
      <c r="F4" s="31">
        <v>1.0221</v>
      </c>
      <c r="G4" s="31">
        <v>1.0436000000000001</v>
      </c>
      <c r="H4" s="31">
        <v>1</v>
      </c>
    </row>
    <row r="5" spans="1:8" ht="42" x14ac:dyDescent="0.15">
      <c r="A5" s="3" t="s">
        <v>41</v>
      </c>
      <c r="B5" s="26"/>
      <c r="C5" s="20"/>
      <c r="E5" s="30"/>
      <c r="F5" s="31"/>
      <c r="G5" s="31"/>
      <c r="H5" s="31"/>
    </row>
    <row r="6" spans="1:8" ht="14" x14ac:dyDescent="0.15">
      <c r="A6" s="2" t="s">
        <v>7</v>
      </c>
      <c r="B6" s="26"/>
      <c r="C6" s="20"/>
      <c r="E6" s="30"/>
      <c r="F6" s="31"/>
      <c r="G6" s="31"/>
      <c r="H6" s="31"/>
    </row>
    <row r="7" spans="1:8" x14ac:dyDescent="0.15">
      <c r="B7" s="26" t="s">
        <v>10</v>
      </c>
      <c r="C7" s="20">
        <v>0.25</v>
      </c>
      <c r="E7" s="30">
        <v>0.04</v>
      </c>
      <c r="F7" s="31">
        <v>0.1164</v>
      </c>
      <c r="G7" s="31">
        <v>0.29020000000000001</v>
      </c>
      <c r="H7" s="31" t="s">
        <v>51</v>
      </c>
    </row>
    <row r="8" spans="1:8" x14ac:dyDescent="0.15">
      <c r="B8" s="26" t="s">
        <v>11</v>
      </c>
      <c r="C8" s="20">
        <v>1</v>
      </c>
      <c r="E8" s="30">
        <v>1</v>
      </c>
      <c r="F8" s="31">
        <v>0.88190000000000002</v>
      </c>
      <c r="G8" s="31">
        <v>0.97150000000000003</v>
      </c>
      <c r="H8" s="31">
        <v>1</v>
      </c>
    </row>
    <row r="9" spans="1:8" ht="42" x14ac:dyDescent="0.15">
      <c r="A9" s="3" t="s">
        <v>42</v>
      </c>
      <c r="B9" s="26"/>
      <c r="C9" s="20"/>
      <c r="E9" s="30"/>
      <c r="F9" s="31"/>
      <c r="G9" s="31"/>
      <c r="H9" s="31"/>
    </row>
    <row r="10" spans="1:8" ht="14" x14ac:dyDescent="0.15">
      <c r="A10" s="2" t="s">
        <v>8</v>
      </c>
      <c r="B10" s="26"/>
      <c r="C10" s="20"/>
      <c r="E10" s="30"/>
      <c r="F10" s="31"/>
      <c r="G10" s="31"/>
      <c r="H10" s="31"/>
    </row>
    <row r="11" spans="1:8" x14ac:dyDescent="0.15">
      <c r="B11" s="26" t="s">
        <v>12</v>
      </c>
      <c r="C11" s="20">
        <v>0.46</v>
      </c>
      <c r="E11" s="30">
        <v>0.25</v>
      </c>
      <c r="F11" s="31">
        <v>0.15</v>
      </c>
      <c r="G11" s="31">
        <v>0.55000000000000004</v>
      </c>
      <c r="H11" s="31" t="s">
        <v>51</v>
      </c>
    </row>
    <row r="12" spans="1:8" ht="56" x14ac:dyDescent="0.15">
      <c r="B12" s="26" t="s">
        <v>13</v>
      </c>
      <c r="C12" s="20">
        <v>0.75</v>
      </c>
      <c r="E12" s="30" t="s">
        <v>55</v>
      </c>
      <c r="F12" s="31">
        <v>0.77190000000000003</v>
      </c>
      <c r="G12" s="31">
        <v>0.70920000000000005</v>
      </c>
      <c r="H12" s="31">
        <v>0.75</v>
      </c>
    </row>
    <row r="13" spans="1:8" ht="28" x14ac:dyDescent="0.15">
      <c r="A13" s="3" t="s">
        <v>43</v>
      </c>
      <c r="B13" s="26"/>
      <c r="C13" s="20"/>
      <c r="E13" s="30"/>
      <c r="F13" s="31"/>
      <c r="G13" s="31"/>
      <c r="H13" s="31"/>
    </row>
    <row r="14" spans="1:8" ht="14" x14ac:dyDescent="0.15">
      <c r="A14" s="2" t="s">
        <v>9</v>
      </c>
      <c r="B14" s="26"/>
      <c r="C14" s="20"/>
      <c r="E14" s="30"/>
      <c r="F14" s="31"/>
      <c r="G14" s="31"/>
      <c r="H14" s="31"/>
    </row>
    <row r="15" spans="1:8" x14ac:dyDescent="0.15">
      <c r="B15" s="26" t="s">
        <v>14</v>
      </c>
      <c r="C15" s="20">
        <v>0.03</v>
      </c>
      <c r="E15" s="30">
        <v>0.03</v>
      </c>
      <c r="F15" s="31">
        <v>2.6499999999999999E-2</v>
      </c>
      <c r="G15" s="31">
        <v>3.0300000000000001E-2</v>
      </c>
      <c r="H15" s="31" t="s">
        <v>51</v>
      </c>
    </row>
    <row r="16" spans="1:8" x14ac:dyDescent="0.15">
      <c r="B16" s="26" t="s">
        <v>15</v>
      </c>
      <c r="C16" s="20">
        <v>0.375</v>
      </c>
      <c r="E16" s="30">
        <v>0.375</v>
      </c>
      <c r="F16" s="31">
        <v>0.38250000000000001</v>
      </c>
      <c r="G16" s="31">
        <v>0.40300000000000002</v>
      </c>
      <c r="H16" s="31">
        <v>0.375</v>
      </c>
    </row>
    <row r="17" spans="1:8" ht="56" x14ac:dyDescent="0.15">
      <c r="A17" s="3" t="s">
        <v>44</v>
      </c>
      <c r="B17" s="26"/>
      <c r="C17" s="20"/>
      <c r="E17" s="30"/>
      <c r="F17" s="31"/>
      <c r="G17" s="31"/>
      <c r="H17" s="31"/>
    </row>
    <row r="18" spans="1:8" ht="28" x14ac:dyDescent="0.15">
      <c r="A18" s="2" t="s">
        <v>16</v>
      </c>
      <c r="B18" s="26"/>
      <c r="C18" s="20"/>
      <c r="E18" s="30"/>
      <c r="F18" s="31"/>
      <c r="G18" s="31"/>
      <c r="H18" s="31"/>
    </row>
    <row r="19" spans="1:8" x14ac:dyDescent="0.15">
      <c r="A19" s="10"/>
      <c r="B19" s="27" t="s">
        <v>17</v>
      </c>
      <c r="C19" s="20">
        <v>100</v>
      </c>
      <c r="D19" s="16"/>
      <c r="E19" s="32">
        <v>100</v>
      </c>
      <c r="F19" s="31">
        <v>160.81198000000001</v>
      </c>
      <c r="G19" s="31">
        <v>80.258869500000003</v>
      </c>
      <c r="H19" s="31" t="s">
        <v>51</v>
      </c>
    </row>
    <row r="20" spans="1:8" x14ac:dyDescent="0.15">
      <c r="B20" s="26" t="s">
        <v>18</v>
      </c>
      <c r="C20" s="20">
        <v>1</v>
      </c>
      <c r="E20" s="30">
        <v>1</v>
      </c>
      <c r="F20" s="31">
        <v>1.0964662000000001</v>
      </c>
      <c r="G20" s="31">
        <v>0.92930453000000002</v>
      </c>
      <c r="H20" s="31">
        <v>0.66669999999999996</v>
      </c>
    </row>
    <row r="21" spans="1:8" x14ac:dyDescent="0.15">
      <c r="B21" s="26" t="s">
        <v>19</v>
      </c>
      <c r="C21" s="20">
        <v>0</v>
      </c>
      <c r="E21" s="30">
        <v>0</v>
      </c>
      <c r="F21" s="31">
        <v>0</v>
      </c>
      <c r="G21" s="31">
        <v>0</v>
      </c>
      <c r="H21" s="31" t="s">
        <v>51</v>
      </c>
    </row>
    <row r="22" spans="1:8" s="11" customFormat="1" x14ac:dyDescent="0.15">
      <c r="A22" s="2"/>
      <c r="B22" s="26"/>
      <c r="C22" s="21"/>
      <c r="D22"/>
      <c r="E22" s="30"/>
      <c r="F22" s="33"/>
      <c r="G22" s="33"/>
      <c r="H22" s="33"/>
    </row>
    <row r="23" spans="1:8" ht="56" x14ac:dyDescent="0.15">
      <c r="A23" s="3" t="s">
        <v>45</v>
      </c>
      <c r="B23" s="26"/>
      <c r="C23" s="20"/>
      <c r="E23" s="30"/>
      <c r="F23" s="31"/>
      <c r="G23" s="31"/>
      <c r="H23" s="31"/>
    </row>
    <row r="24" spans="1:8" ht="28" x14ac:dyDescent="0.15">
      <c r="A24" s="2" t="s">
        <v>20</v>
      </c>
      <c r="B24" s="26"/>
      <c r="C24" s="20"/>
      <c r="E24" s="30"/>
      <c r="F24" s="31"/>
      <c r="G24" s="31"/>
      <c r="H24" s="31"/>
    </row>
    <row r="25" spans="1:8" ht="42" x14ac:dyDescent="0.15">
      <c r="B25" s="28" t="s">
        <v>48</v>
      </c>
      <c r="C25" s="20">
        <v>30</v>
      </c>
      <c r="E25" s="30" t="s">
        <v>56</v>
      </c>
      <c r="F25" s="31">
        <v>31.464272999999999</v>
      </c>
      <c r="G25" s="31">
        <v>30.112784999999999</v>
      </c>
      <c r="H25" s="31" t="s">
        <v>51</v>
      </c>
    </row>
    <row r="26" spans="1:8" x14ac:dyDescent="0.15">
      <c r="B26" s="26" t="s">
        <v>21</v>
      </c>
      <c r="C26" s="20">
        <v>8.6999999999999993</v>
      </c>
      <c r="E26" s="30">
        <v>15</v>
      </c>
      <c r="F26" s="31">
        <v>8.5</v>
      </c>
      <c r="G26" s="31">
        <v>8.9</v>
      </c>
      <c r="H26" s="31" t="s">
        <v>51</v>
      </c>
    </row>
    <row r="27" spans="1:8" ht="42" x14ac:dyDescent="0.15">
      <c r="A27" s="40" t="s">
        <v>46</v>
      </c>
      <c r="B27" s="41"/>
      <c r="C27" s="41"/>
      <c r="E27" s="30"/>
      <c r="F27" s="31"/>
      <c r="G27" s="31"/>
      <c r="H27" s="31"/>
    </row>
    <row r="28" spans="1:8" ht="28" x14ac:dyDescent="0.15">
      <c r="A28" s="42" t="s">
        <v>22</v>
      </c>
      <c r="B28" s="41"/>
      <c r="C28" s="41"/>
      <c r="E28" s="30"/>
      <c r="F28" s="31"/>
      <c r="G28" s="31"/>
      <c r="H28" s="31"/>
    </row>
    <row r="29" spans="1:8" x14ac:dyDescent="0.15">
      <c r="A29" s="42"/>
      <c r="B29" s="41" t="s">
        <v>23</v>
      </c>
      <c r="C29" s="41">
        <v>1.5</v>
      </c>
      <c r="D29" s="4"/>
      <c r="E29" s="34">
        <v>1.5</v>
      </c>
      <c r="F29" s="31">
        <v>1.5056</v>
      </c>
      <c r="G29" s="31">
        <v>0.58408000000000004</v>
      </c>
      <c r="H29" s="31" t="s">
        <v>51</v>
      </c>
    </row>
    <row r="30" spans="1:8" x14ac:dyDescent="0.15">
      <c r="A30" s="42"/>
      <c r="B30" s="41" t="s">
        <v>24</v>
      </c>
      <c r="C30" s="41">
        <v>-0.45</v>
      </c>
      <c r="D30" s="4"/>
      <c r="E30" s="34">
        <v>-0.45</v>
      </c>
      <c r="F30" s="31">
        <v>-0.44834000000000002</v>
      </c>
      <c r="G30" s="31">
        <v>-0.45767000000000002</v>
      </c>
      <c r="H30" s="31" t="s">
        <v>51</v>
      </c>
    </row>
    <row r="31" spans="1:8" x14ac:dyDescent="0.15">
      <c r="B31" s="26"/>
      <c r="C31" s="20"/>
      <c r="E31" s="30"/>
      <c r="F31" s="31"/>
      <c r="G31" s="31"/>
      <c r="H31" s="31"/>
    </row>
    <row r="32" spans="1:8" x14ac:dyDescent="0.15">
      <c r="B32" s="26"/>
      <c r="C32" s="20"/>
      <c r="E32" s="30"/>
      <c r="F32" s="31"/>
      <c r="G32" s="31"/>
      <c r="H32" s="31"/>
    </row>
    <row r="33" spans="1:11" ht="14" x14ac:dyDescent="0.15">
      <c r="A33" s="42" t="s">
        <v>27</v>
      </c>
      <c r="B33" s="41"/>
      <c r="C33" s="41">
        <v>2.6999999999999999E-5</v>
      </c>
      <c r="E33" s="30">
        <v>3.0000000000000001E-5</v>
      </c>
      <c r="F33" s="31">
        <v>2.6999999999999999E-5</v>
      </c>
      <c r="G33" s="31">
        <v>2.6999999999999999E-5</v>
      </c>
      <c r="H33" s="31" t="s">
        <v>51</v>
      </c>
    </row>
    <row r="34" spans="1:11" ht="14" x14ac:dyDescent="0.15">
      <c r="A34" s="42" t="s">
        <v>4</v>
      </c>
      <c r="B34" s="41"/>
      <c r="C34" s="41">
        <v>923.43</v>
      </c>
      <c r="E34" s="30" t="s">
        <v>57</v>
      </c>
      <c r="F34" s="31">
        <v>500</v>
      </c>
      <c r="G34" s="31">
        <v>923.43</v>
      </c>
      <c r="H34" s="31" t="s">
        <v>51</v>
      </c>
    </row>
    <row r="35" spans="1:11" ht="14" x14ac:dyDescent="0.15">
      <c r="A35" s="2" t="s">
        <v>25</v>
      </c>
      <c r="B35" s="20"/>
      <c r="C35" s="26">
        <v>995</v>
      </c>
      <c r="E35" s="30" t="s">
        <v>56</v>
      </c>
      <c r="F35" s="31">
        <v>995.76</v>
      </c>
      <c r="G35" s="31">
        <v>764.3</v>
      </c>
      <c r="H35" s="31"/>
    </row>
    <row r="36" spans="1:11" ht="14" x14ac:dyDescent="0.15">
      <c r="A36" s="2" t="s">
        <v>26</v>
      </c>
      <c r="B36" s="20"/>
      <c r="C36" s="26">
        <v>9.65</v>
      </c>
      <c r="E36" s="30" t="s">
        <v>56</v>
      </c>
      <c r="F36" s="31">
        <v>9.6543478</v>
      </c>
      <c r="G36" s="31">
        <v>7.3263157999999997</v>
      </c>
      <c r="H36" s="31" t="s">
        <v>51</v>
      </c>
    </row>
    <row r="37" spans="1:11" ht="14" x14ac:dyDescent="0.15">
      <c r="A37" s="42" t="s">
        <v>5</v>
      </c>
      <c r="B37" s="41"/>
      <c r="C37" s="41">
        <v>2.9599999999999998E-4</v>
      </c>
      <c r="E37" s="30"/>
      <c r="F37" s="31">
        <v>2.9599999999999998E-4</v>
      </c>
      <c r="G37" s="31">
        <v>2.9599999999999998E-4</v>
      </c>
      <c r="H37" s="31" t="s">
        <v>51</v>
      </c>
    </row>
    <row r="38" spans="1:11" x14ac:dyDescent="0.15">
      <c r="B38" s="20"/>
      <c r="C38" s="26"/>
      <c r="E38" s="30"/>
      <c r="F38" s="31"/>
      <c r="G38" s="35"/>
      <c r="H38" s="31"/>
    </row>
    <row r="39" spans="1:11" ht="14" x14ac:dyDescent="0.15">
      <c r="A39" s="2" t="s">
        <v>6</v>
      </c>
      <c r="B39" s="22"/>
      <c r="C39" s="29">
        <v>0.99</v>
      </c>
      <c r="E39" s="36"/>
      <c r="F39" s="37"/>
      <c r="G39" s="38"/>
      <c r="H39" s="37"/>
    </row>
    <row r="42" spans="1:11" ht="56" x14ac:dyDescent="0.15">
      <c r="J42" s="3" t="s">
        <v>59</v>
      </c>
      <c r="K42" s="1">
        <f>INDEX('Simulate growth'!A:A,MATCH("True",'Simulate growth'!G:G,0))</f>
        <v>11</v>
      </c>
    </row>
    <row r="43" spans="1:11" x14ac:dyDescent="0.15">
      <c r="J43" s="39" t="s">
        <v>60</v>
      </c>
      <c r="K43" s="39" t="e">
        <f>IF(MATCH("True",'Simulate growth'!N:N,0)&gt;0,"TREE COLLAPSES UNDER IT'S OWN WEIGHT!","")</f>
        <v>#N/A</v>
      </c>
    </row>
    <row r="44" spans="1:11" ht="28" x14ac:dyDescent="0.15">
      <c r="E44" s="47" t="s">
        <v>62</v>
      </c>
      <c r="F44">
        <v>2</v>
      </c>
      <c r="K44" s="39" t="e">
        <f>IF(MATCH("True",'Simulate growth'!R:R,0)&gt;0,"Allometric masses differ from total mass outside cutoff","")</f>
        <v>#N/A</v>
      </c>
    </row>
    <row r="70" spans="1:19" x14ac:dyDescent="0.15">
      <c r="A70" s="3"/>
      <c r="B70" s="1"/>
      <c r="C70" s="1"/>
      <c r="D70" s="1"/>
      <c r="E70" s="1"/>
    </row>
    <row r="73" spans="1:19" s="1" customFormat="1" x14ac:dyDescent="0.15">
      <c r="A73" s="2"/>
      <c r="B73"/>
      <c r="C73"/>
      <c r="D73"/>
      <c r="E73"/>
      <c r="P73"/>
      <c r="Q73"/>
      <c r="R73"/>
      <c r="S73"/>
    </row>
  </sheetData>
  <sheetCalcPr fullCalcOnLoad="1"/>
  <mergeCells count="1">
    <mergeCell ref="E1:H1"/>
  </mergeCells>
  <phoneticPr fontId="5"/>
  <pageMargins left="0.75" right="0.75" top="1" bottom="1" header="0.5" footer="0.5"/>
  <pageSetup orientation="portrait" horizontalDpi="4294967292" verticalDpi="4294967292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9791-84F2-1C4F-A6C7-B26678CC78EB}">
  <dimension ref="A1:T101"/>
  <sheetViews>
    <sheetView topLeftCell="J1" zoomScale="110" zoomScaleNormal="110" workbookViewId="0">
      <pane ySplit="1400" activePane="bottomLeft"/>
      <selection activeCell="Q1" sqref="Q1:R65536"/>
      <selection pane="bottomLeft" activeCell="T2" sqref="T2:T5"/>
    </sheetView>
  </sheetViews>
  <sheetFormatPr baseColWidth="10" defaultColWidth="11" defaultRowHeight="13" x14ac:dyDescent="0.15"/>
  <cols>
    <col min="1" max="1" width="5.83203125" style="4" customWidth="1"/>
    <col min="2" max="2" width="13.5" customWidth="1"/>
    <col min="3" max="3" width="11" customWidth="1"/>
    <col min="4" max="4" width="11" bestFit="1" customWidth="1"/>
    <col min="5" max="6" width="12" customWidth="1"/>
    <col min="7" max="7" width="7.83203125" customWidth="1"/>
    <col min="8" max="12" width="12" customWidth="1"/>
    <col min="13" max="13" width="12" style="15" customWidth="1"/>
    <col min="14" max="14" width="11" style="14" customWidth="1"/>
    <col min="17" max="17" width="11" style="50"/>
  </cols>
  <sheetData>
    <row r="1" spans="1:20" ht="39" customHeight="1" x14ac:dyDescent="0.15">
      <c r="A1" s="8" t="s">
        <v>3</v>
      </c>
      <c r="B1" s="8" t="s">
        <v>35</v>
      </c>
      <c r="C1" s="8" t="s">
        <v>36</v>
      </c>
      <c r="D1" s="8" t="s">
        <v>37</v>
      </c>
      <c r="E1" s="9" t="s">
        <v>30</v>
      </c>
      <c r="F1" s="9" t="s">
        <v>29</v>
      </c>
      <c r="G1" s="9" t="s">
        <v>31</v>
      </c>
      <c r="H1" s="9" t="s">
        <v>28</v>
      </c>
      <c r="I1" s="8" t="s">
        <v>32</v>
      </c>
      <c r="J1" s="9" t="s">
        <v>33</v>
      </c>
      <c r="K1" s="9" t="s">
        <v>47</v>
      </c>
      <c r="L1" s="9" t="s">
        <v>34</v>
      </c>
      <c r="M1" s="13" t="s">
        <v>38</v>
      </c>
      <c r="N1" s="12" t="s">
        <v>39</v>
      </c>
      <c r="P1" s="46"/>
      <c r="Q1" s="48" t="s">
        <v>61</v>
      </c>
    </row>
    <row r="2" spans="1:20" s="5" customFormat="1" x14ac:dyDescent="0.15">
      <c r="A2" s="6">
        <v>0</v>
      </c>
      <c r="B2" s="7">
        <v>2.6999999999999999E-5</v>
      </c>
      <c r="C2" s="7">
        <f>B2</f>
        <v>2.6999999999999999E-5</v>
      </c>
      <c r="D2" s="7">
        <f>C2*'Constants and exponents'!C39</f>
        <v>2.673E-5</v>
      </c>
      <c r="E2" s="4">
        <f>('Constants and exponents'!$C$19*(J2^'Constants and exponents'!$C$20))-'Constants and exponents'!$C$21</f>
        <v>5.7842341374131516E-2</v>
      </c>
      <c r="F2" s="4">
        <f>'Constants and exponents'!$C$25+('Constants and exponents'!$C$26*(LN(J2)))</f>
        <v>-34.860278347425208</v>
      </c>
      <c r="G2" s="4" t="str">
        <f>IF(G1="True", "True", IF(F2&gt;E2,"True","False"))</f>
        <v>False</v>
      </c>
      <c r="H2" s="4">
        <f>IF(G2="True", F2, E2)</f>
        <v>5.7842341374131516E-2</v>
      </c>
      <c r="I2" s="7">
        <f>C2-D2</f>
        <v>2.6999999999999911E-7</v>
      </c>
      <c r="J2" s="4">
        <f>'Constants and exponents'!$C$15*(D2^'Constants and exponents'!$C$16)</f>
        <v>5.7842341374131519E-4</v>
      </c>
      <c r="K2" s="4">
        <f>(((I2/'Constants and exponents'!$C$34)/'Constants and exponents'!$C$37)^0.5)*0.7071067812</f>
        <v>7.0277942593615749E-4</v>
      </c>
      <c r="L2" s="7">
        <f>(((I2/'Constants and exponents'!$C$34)/'Constants and exponents'!$C$37)/2)</f>
        <v>4.9389892150036243E-7</v>
      </c>
      <c r="M2" s="6">
        <f>0.79*((('Constants and exponents'!$C$36*1000000000)/(9.81*'Constants and exponents'!$C$35))^0.33)*(J2^0.6667)</f>
        <v>0.52164858456485597</v>
      </c>
      <c r="N2" s="14" t="str">
        <f t="shared" ref="N2:N33" si="0">IF(H2&gt;M2,"True","False")</f>
        <v>False</v>
      </c>
      <c r="O2"/>
      <c r="Q2" s="49">
        <f>ABS((D2+I2)-C2)/C2</f>
        <v>0</v>
      </c>
      <c r="R2" s="5" t="str">
        <f>IF(Q2&gt;('Constants and exponents'!$F$44/100),"True","False")</f>
        <v>False</v>
      </c>
      <c r="T2" s="5">
        <f>D2+I2</f>
        <v>2.6999999999999999E-5</v>
      </c>
    </row>
    <row r="3" spans="1:20" x14ac:dyDescent="0.15">
      <c r="A3" s="6">
        <f>A2+1</f>
        <v>1</v>
      </c>
      <c r="B3" s="7">
        <f>'Constants and exponents'!$C$29*(I2^'Constants and exponents'!$C$30)*L2</f>
        <v>6.6929201396042292E-4</v>
      </c>
      <c r="C3" s="7">
        <f>D2+I2+B3</f>
        <v>6.9629201396042293E-4</v>
      </c>
      <c r="D3" s="7">
        <f>D2+('Constants and exponents'!$C$3*(B3^'Constants and exponents'!$C$4))</f>
        <v>5.6216361116833834E-4</v>
      </c>
      <c r="E3" s="4">
        <f>('Constants and exponents'!$C$19*(J3^'Constants and exponents'!$C$20))-'Constants and exponents'!$C$21</f>
        <v>0.18126743050040195</v>
      </c>
      <c r="F3" s="4">
        <f>'Constants and exponents'!$C$25+('Constants and exponents'!$C$26*(LN(J3)))</f>
        <v>-24.922682465956761</v>
      </c>
      <c r="G3" s="4" t="str">
        <f>IF(G2="True", "True", IF(F3&gt;E3,"True","False"))</f>
        <v>False</v>
      </c>
      <c r="H3" s="4">
        <f>IF(G3="True", F3, E3)</f>
        <v>0.18126743050040195</v>
      </c>
      <c r="I3" s="4">
        <f>IF(G3="False",'Constants and exponents'!$C$7*(D3^'Constants and exponents'!$C$8),'Constants and exponents'!$C$11*(D3^'Constants and exponents'!$C$12))</f>
        <v>1.4054090279208459E-4</v>
      </c>
      <c r="J3" s="4">
        <f>'Constants and exponents'!$C$15*(D3^'Constants and exponents'!$C$16)</f>
        <v>1.8126743050040194E-3</v>
      </c>
      <c r="K3" s="4">
        <f>(((I3/'Constants and exponents'!$C$34)/'Constants and exponents'!$C$37)^0.5)*0.7071067812</f>
        <v>1.6033876211453649E-2</v>
      </c>
      <c r="L3" s="7">
        <f>(((I3/'Constants and exponents'!$C$34)/'Constants and exponents'!$C$37)/2)</f>
        <v>2.570851863544373E-4</v>
      </c>
      <c r="M3" s="6">
        <f>0.79*((('Constants and exponents'!$C$36*1000000000)/(9.81*'Constants and exponents'!$C$35))^0.33)*(J3^0.6667)</f>
        <v>1.1171474846239113</v>
      </c>
      <c r="N3" s="14" t="str">
        <f t="shared" si="0"/>
        <v>False</v>
      </c>
      <c r="P3" s="5"/>
      <c r="Q3" s="49">
        <f t="shared" ref="Q3:Q66" si="1">ABS((D3+I3)-C3)/C3</f>
        <v>9.2094981292783554E-3</v>
      </c>
      <c r="R3" s="5" t="str">
        <f>IF(Q3&gt;('Constants and exponents'!$F$44/100),"True","False")</f>
        <v>False</v>
      </c>
      <c r="T3" s="5">
        <f t="shared" ref="T3:T5" si="2">D3+I3</f>
        <v>7.027045139604229E-4</v>
      </c>
    </row>
    <row r="4" spans="1:20" x14ac:dyDescent="0.15">
      <c r="A4" s="6">
        <f t="shared" ref="A4:A66" si="3">A3+1</f>
        <v>2</v>
      </c>
      <c r="B4" s="7">
        <f>'Constants and exponents'!$C$29*(I3^'Constants and exponents'!$C$30)*L3</f>
        <v>2.0876470645320545E-2</v>
      </c>
      <c r="C4" s="7">
        <f t="shared" ref="C4:C67" si="4">D3+I3+B4</f>
        <v>2.1579175159280966E-2</v>
      </c>
      <c r="D4" s="7">
        <f>D3+('Constants and exponents'!$C$3*(B4^'Constants and exponents'!$C$4))</f>
        <v>1.7263340127424774E-2</v>
      </c>
      <c r="E4" s="4">
        <f>('Constants and exponents'!$C$19*(J4^'Constants and exponents'!$C$20))-'Constants and exponents'!$C$21</f>
        <v>0.6547010914390502</v>
      </c>
      <c r="F4" s="4">
        <f>'Constants and exponents'!$C$25+('Constants and exponents'!$C$26*(LN(J4)))</f>
        <v>-13.750096137244199</v>
      </c>
      <c r="G4" s="4" t="str">
        <f t="shared" ref="G4:G67" si="5">IF(G3="True", "True", IF(F4&gt;E4,"True","False"))</f>
        <v>False</v>
      </c>
      <c r="H4" s="4">
        <f t="shared" ref="H4:H67" si="6">IF(G4="True", F4, E4)</f>
        <v>0.6547010914390502</v>
      </c>
      <c r="I4" s="4">
        <f>IF(G4="False",'Constants and exponents'!$C$7*(D4^'Constants and exponents'!$C$8),'Constants and exponents'!$C$11*(D4^'Constants and exponents'!$C$12))</f>
        <v>4.3158350318561935E-3</v>
      </c>
      <c r="J4" s="4">
        <f>'Constants and exponents'!$C$15*(D4^'Constants and exponents'!$C$16)</f>
        <v>6.5470109143905024E-3</v>
      </c>
      <c r="K4" s="4">
        <f>(((I4/'Constants and exponents'!$C$34)/'Constants and exponents'!$C$37)^0.5)*0.7071067812</f>
        <v>8.8852484233145484E-2</v>
      </c>
      <c r="L4" s="7">
        <f>(((I4/'Constants and exponents'!$C$34)/'Constants and exponents'!$C$37)/2)</f>
        <v>7.8947639541009744E-3</v>
      </c>
      <c r="M4" s="6">
        <f>0.79*((('Constants and exponents'!$C$36*1000000000)/(9.81*'Constants and exponents'!$C$35))^0.33)*(J4^0.6667)</f>
        <v>2.6299326513503707</v>
      </c>
      <c r="N4" s="14" t="str">
        <f t="shared" si="0"/>
        <v>False</v>
      </c>
      <c r="P4" s="5"/>
      <c r="Q4" s="49">
        <f t="shared" si="1"/>
        <v>1.6077755179912163E-16</v>
      </c>
      <c r="R4" s="5" t="str">
        <f>IF(Q4&gt;('Constants and exponents'!$F$44/100),"True","False")</f>
        <v>False</v>
      </c>
      <c r="T4" s="5">
        <f t="shared" si="2"/>
        <v>2.1579175159280969E-2</v>
      </c>
    </row>
    <row r="5" spans="1:20" x14ac:dyDescent="0.15">
      <c r="A5" s="6">
        <f t="shared" si="3"/>
        <v>3</v>
      </c>
      <c r="B5" s="7">
        <f>'Constants and exponents'!$C$29*(I4^'Constants and exponents'!$C$30)*L4</f>
        <v>0.13729389702631564</v>
      </c>
      <c r="C5" s="7">
        <f t="shared" si="4"/>
        <v>0.1588730721855966</v>
      </c>
      <c r="D5" s="7">
        <f>D4+('Constants and exponents'!$C$3*(B5^'Constants and exponents'!$C$4))</f>
        <v>0.12709845774847731</v>
      </c>
      <c r="E5" s="4">
        <f>('Constants and exponents'!$C$19*(J5^'Constants and exponents'!$C$20))-'Constants and exponents'!$C$21</f>
        <v>1.3841203694175213</v>
      </c>
      <c r="F5" s="4">
        <f>'Constants and exponents'!$C$25+('Constants and exponents'!$C$26*(LN(J5)))</f>
        <v>-7.2369166359322463</v>
      </c>
      <c r="G5" s="4" t="str">
        <f t="shared" si="5"/>
        <v>False</v>
      </c>
      <c r="H5" s="4">
        <f t="shared" si="6"/>
        <v>1.3841203694175213</v>
      </c>
      <c r="I5" s="4">
        <f>IF(G5="False",'Constants and exponents'!$C$7*(D5^'Constants and exponents'!$C$8),'Constants and exponents'!$C$11*(D5^'Constants and exponents'!$C$12))</f>
        <v>3.1774614437119326E-2</v>
      </c>
      <c r="J5" s="4">
        <f>'Constants and exponents'!$C$15*(D5^'Constants and exponents'!$C$16)</f>
        <v>1.3841203694175212E-2</v>
      </c>
      <c r="K5" s="4">
        <f>(((I5/'Constants and exponents'!$C$34)/'Constants and exponents'!$C$37)^0.5)*0.7071067812</f>
        <v>0.24108894779482484</v>
      </c>
      <c r="L5" s="7">
        <f>(((I5/'Constants and exponents'!$C$34)/'Constants and exponents'!$C$37)/2)</f>
        <v>5.8123880746604191E-2</v>
      </c>
      <c r="M5" s="6">
        <f>0.79*((('Constants and exponents'!$C$36*1000000000)/(9.81*'Constants and exponents'!$C$35))^0.33)*(J5^0.6667)</f>
        <v>4.3322082799517112</v>
      </c>
      <c r="N5" s="14" t="str">
        <f t="shared" si="0"/>
        <v>False</v>
      </c>
      <c r="P5" s="5"/>
      <c r="Q5" s="49">
        <f t="shared" si="1"/>
        <v>1.747028318506025E-16</v>
      </c>
      <c r="R5" s="5" t="str">
        <f>IF(Q5&gt;('Constants and exponents'!$F$44/100),"True","False")</f>
        <v>False</v>
      </c>
      <c r="T5" s="5">
        <f t="shared" si="2"/>
        <v>0.15887307218559663</v>
      </c>
    </row>
    <row r="6" spans="1:20" x14ac:dyDescent="0.15">
      <c r="A6" s="6">
        <f t="shared" si="3"/>
        <v>4</v>
      </c>
      <c r="B6" s="7">
        <f>'Constants and exponents'!$C$29*(I5^'Constants and exponents'!$C$30)*L5</f>
        <v>0.41163257126266478</v>
      </c>
      <c r="C6" s="7">
        <f t="shared" si="4"/>
        <v>0.57050564344826138</v>
      </c>
      <c r="D6" s="7">
        <f>D5+('Constants and exponents'!$C$3*(B6^'Constants and exponents'!$C$4))</f>
        <v>0.4564045147586091</v>
      </c>
      <c r="E6" s="4">
        <f>('Constants and exponents'!$C$19*(J6^'Constants and exponents'!$C$20))-'Constants and exponents'!$C$21</f>
        <v>2.2355144383049552</v>
      </c>
      <c r="F6" s="4">
        <f>'Constants and exponents'!$C$25+('Constants and exponents'!$C$26*(LN(J6)))</f>
        <v>-3.0660796528310357</v>
      </c>
      <c r="G6" s="4" t="str">
        <f t="shared" si="5"/>
        <v>False</v>
      </c>
      <c r="H6" s="4">
        <f t="shared" si="6"/>
        <v>2.2355144383049552</v>
      </c>
      <c r="I6" s="4">
        <f>IF(G6="False",'Constants and exponents'!$C$7*(D6^'Constants and exponents'!$C$8),'Constants and exponents'!$C$11*(D6^'Constants and exponents'!$C$12))</f>
        <v>0.11410112868965228</v>
      </c>
      <c r="J6" s="4">
        <f>'Constants and exponents'!$C$15*(D6^'Constants and exponents'!$C$16)</f>
        <v>2.2355144383049554E-2</v>
      </c>
      <c r="K6" s="4">
        <f>(((I6/'Constants and exponents'!$C$34)/'Constants and exponents'!$C$37)^0.5)*0.7071067812</f>
        <v>0.45685893926348276</v>
      </c>
      <c r="L6" s="7">
        <f>(((I6/'Constants and exponents'!$C$34)/'Constants and exponents'!$C$37)/2)</f>
        <v>0.20872009037701295</v>
      </c>
      <c r="M6" s="6">
        <f>0.79*((('Constants and exponents'!$C$36*1000000000)/(9.81*'Constants and exponents'!$C$35))^0.33)*(J6^0.6667)</f>
        <v>5.9637397201270774</v>
      </c>
      <c r="N6" s="14" t="str">
        <f t="shared" si="0"/>
        <v>False</v>
      </c>
      <c r="P6" s="5"/>
      <c r="Q6" s="49">
        <f t="shared" si="1"/>
        <v>0</v>
      </c>
      <c r="R6" s="5" t="str">
        <f>IF(Q6&gt;('Constants and exponents'!$F$44/100),"True","False")</f>
        <v>False</v>
      </c>
    </row>
    <row r="7" spans="1:20" x14ac:dyDescent="0.15">
      <c r="A7" s="6">
        <f t="shared" si="3"/>
        <v>5</v>
      </c>
      <c r="B7" s="7">
        <f>'Constants and exponents'!$C$29*(I6^'Constants and exponents'!$C$30)*L6</f>
        <v>0.83152448124520506</v>
      </c>
      <c r="C7" s="7">
        <f t="shared" si="4"/>
        <v>1.4020301246934666</v>
      </c>
      <c r="D7" s="7">
        <f>D6+('Constants and exponents'!$C$3*(B7^'Constants and exponents'!$C$4))</f>
        <v>1.1216240997547731</v>
      </c>
      <c r="E7" s="4">
        <f>('Constants and exponents'!$C$19*(J7^'Constants and exponents'!$C$20))-'Constants and exponents'!$C$21</f>
        <v>3.1319441163580799</v>
      </c>
      <c r="F7" s="4">
        <f>'Constants and exponents'!$C$25+('Constants and exponents'!$C$26*(LN(J7)))</f>
        <v>-0.13259138210151988</v>
      </c>
      <c r="G7" s="4" t="str">
        <f t="shared" si="5"/>
        <v>False</v>
      </c>
      <c r="H7" s="4">
        <f t="shared" si="6"/>
        <v>3.1319441163580799</v>
      </c>
      <c r="I7" s="4">
        <f>IF(G7="False",'Constants and exponents'!$C$7*(D7^'Constants and exponents'!$C$8),'Constants and exponents'!$C$11*(D7^'Constants and exponents'!$C$12))</f>
        <v>0.28040602493869327</v>
      </c>
      <c r="J7" s="4">
        <f>'Constants and exponents'!$C$15*(D7^'Constants and exponents'!$C$16)</f>
        <v>3.1319441163580798E-2</v>
      </c>
      <c r="K7" s="4">
        <f>(((I7/'Constants and exponents'!$C$34)/'Constants and exponents'!$C$37)^0.5)*0.7071067812</f>
        <v>0.71619424559597911</v>
      </c>
      <c r="L7" s="7">
        <f>(((I7/'Constants and exponents'!$C$34)/'Constants and exponents'!$C$37)/2)</f>
        <v>0.5129341974052769</v>
      </c>
      <c r="M7" s="6">
        <f>0.79*((('Constants and exponents'!$C$36*1000000000)/(9.81*'Constants and exponents'!$C$35))^0.33)*(J7^0.6667)</f>
        <v>7.4670302766663443</v>
      </c>
      <c r="N7" s="14" t="str">
        <f t="shared" si="0"/>
        <v>False</v>
      </c>
      <c r="P7" s="5"/>
      <c r="Q7" s="49">
        <f t="shared" si="1"/>
        <v>1.5837363335796949E-16</v>
      </c>
      <c r="R7" s="5" t="str">
        <f>IF(Q7&gt;('Constants and exponents'!$F$44/100),"True","False")</f>
        <v>False</v>
      </c>
    </row>
    <row r="8" spans="1:20" x14ac:dyDescent="0.15">
      <c r="A8" s="6">
        <f t="shared" si="3"/>
        <v>6</v>
      </c>
      <c r="B8" s="7">
        <f>'Constants and exponents'!$C$29*(I7^'Constants and exponents'!$C$30)*L7</f>
        <v>1.3634794921602</v>
      </c>
      <c r="C8" s="7">
        <f t="shared" si="4"/>
        <v>2.7655096168536666</v>
      </c>
      <c r="D8" s="7">
        <f>D7+('Constants and exponents'!$C$3*(B8^'Constants and exponents'!$C$4))</f>
        <v>2.2124076934829331</v>
      </c>
      <c r="E8" s="4">
        <f>('Constants and exponents'!$C$19*(J8^'Constants and exponents'!$C$20))-'Constants and exponents'!$C$21</f>
        <v>4.0405984204672594</v>
      </c>
      <c r="F8" s="4">
        <f>'Constants and exponents'!$C$25+('Constants and exponents'!$C$26*(LN(J8)))</f>
        <v>2.0836367843755674</v>
      </c>
      <c r="G8" s="4" t="str">
        <f t="shared" si="5"/>
        <v>False</v>
      </c>
      <c r="H8" s="4">
        <f t="shared" si="6"/>
        <v>4.0405984204672594</v>
      </c>
      <c r="I8" s="4">
        <f>IF(G8="False",'Constants and exponents'!$C$7*(D8^'Constants and exponents'!$C$8),'Constants and exponents'!$C$11*(D8^'Constants and exponents'!$C$12))</f>
        <v>0.55310192337073327</v>
      </c>
      <c r="J8" s="4">
        <f>'Constants and exponents'!$C$15*(D8^'Constants and exponents'!$C$16)</f>
        <v>4.040598420467259E-2</v>
      </c>
      <c r="K8" s="4">
        <f>(((I8/'Constants and exponents'!$C$34)/'Constants and exponents'!$C$37)^0.5)*0.7071067812</f>
        <v>1.0058651029558372</v>
      </c>
      <c r="L8" s="7">
        <f>(((I8/'Constants and exponents'!$C$34)/'Constants and exponents'!$C$37)/2)</f>
        <v>1.0117646053058598</v>
      </c>
      <c r="M8" s="6">
        <f>0.79*((('Constants and exponents'!$C$36*1000000000)/(9.81*'Constants and exponents'!$C$35))^0.33)*(J8^0.6667)</f>
        <v>8.8492416953780086</v>
      </c>
      <c r="N8" s="14" t="str">
        <f t="shared" si="0"/>
        <v>False</v>
      </c>
      <c r="P8" s="5"/>
      <c r="Q8" s="49">
        <f t="shared" si="1"/>
        <v>0</v>
      </c>
      <c r="R8" s="5" t="str">
        <f>IF(Q8&gt;('Constants and exponents'!$F$44/100),"True","False")</f>
        <v>False</v>
      </c>
    </row>
    <row r="9" spans="1:20" x14ac:dyDescent="0.15">
      <c r="A9" s="7">
        <f t="shared" si="3"/>
        <v>7</v>
      </c>
      <c r="B9" s="7">
        <f>'Constants and exponents'!$C$29*(I8^'Constants and exponents'!$C$30)*L8</f>
        <v>1.9811092032485451</v>
      </c>
      <c r="C9" s="7">
        <f t="shared" si="4"/>
        <v>4.7466188201022117</v>
      </c>
      <c r="D9" s="7">
        <f>D8+('Constants and exponents'!$C$3*(B9^'Constants and exponents'!$C$4))</f>
        <v>3.7972950560817695</v>
      </c>
      <c r="E9" s="4">
        <f>('Constants and exponents'!$C$19*(J9^'Constants and exponents'!$C$20))-'Constants and exponents'!$C$21</f>
        <v>4.9479366850865159</v>
      </c>
      <c r="F9" s="4">
        <f>'Constants and exponents'!$C$25+('Constants and exponents'!$C$26*(LN(J9)))</f>
        <v>3.8460641098673101</v>
      </c>
      <c r="G9" s="4" t="str">
        <f t="shared" si="5"/>
        <v>False</v>
      </c>
      <c r="H9" s="4">
        <f t="shared" si="6"/>
        <v>4.9479366850865159</v>
      </c>
      <c r="I9" s="4">
        <f>IF(G9="False",'Constants and exponents'!$C$7*(D9^'Constants and exponents'!$C$8),'Constants and exponents'!$C$11*(D9^'Constants and exponents'!$C$12))</f>
        <v>0.94932376402044238</v>
      </c>
      <c r="J9" s="4">
        <f>'Constants and exponents'!$C$15*(D9^'Constants and exponents'!$C$16)</f>
        <v>4.947936685086516E-2</v>
      </c>
      <c r="K9" s="4">
        <f>(((I9/'Constants and exponents'!$C$34)/'Constants and exponents'!$C$37)^0.5)*0.7071067812</f>
        <v>1.31778431217539</v>
      </c>
      <c r="L9" s="7">
        <f>(((I9/'Constants and exponents'!$C$34)/'Constants and exponents'!$C$37)/2)</f>
        <v>1.7365554933494909</v>
      </c>
      <c r="M9" s="6">
        <f>0.79*((('Constants and exponents'!$C$36*1000000000)/(9.81*'Constants and exponents'!$C$35))^0.33)*(J9^0.6667)</f>
        <v>10.128876725124149</v>
      </c>
      <c r="N9" s="14" t="str">
        <f t="shared" si="0"/>
        <v>False</v>
      </c>
      <c r="P9" s="5"/>
      <c r="Q9" s="49">
        <f t="shared" si="1"/>
        <v>0</v>
      </c>
      <c r="R9" s="5" t="str">
        <f>IF(Q9&gt;('Constants and exponents'!$F$44/100),"True","False")</f>
        <v>False</v>
      </c>
    </row>
    <row r="10" spans="1:20" x14ac:dyDescent="0.15">
      <c r="A10" s="7">
        <f t="shared" si="3"/>
        <v>8</v>
      </c>
      <c r="B10" s="7">
        <f>'Constants and exponents'!$C$29*(I9^'Constants and exponents'!$C$30)*L9</f>
        <v>2.6665115342204988</v>
      </c>
      <c r="C10" s="7">
        <f t="shared" si="4"/>
        <v>7.4131303543227105</v>
      </c>
      <c r="D10" s="7">
        <f>D9+('Constants and exponents'!$C$3*(B10^'Constants and exponents'!$C$4))</f>
        <v>5.930504283458168</v>
      </c>
      <c r="E10" s="4">
        <f>('Constants and exponents'!$C$19*(J10^'Constants and exponents'!$C$20))-'Constants and exponents'!$C$21</f>
        <v>5.848313078175666</v>
      </c>
      <c r="F10" s="4">
        <f>'Constants and exponents'!$C$25+('Constants and exponents'!$C$26*(LN(J10)))</f>
        <v>5.3005527174054201</v>
      </c>
      <c r="G10" s="4" t="str">
        <f t="shared" si="5"/>
        <v>False</v>
      </c>
      <c r="H10" s="4">
        <f t="shared" si="6"/>
        <v>5.848313078175666</v>
      </c>
      <c r="I10" s="4">
        <f>IF(G10="False",'Constants and exponents'!$C$7*(D10^'Constants and exponents'!$C$8),'Constants and exponents'!$C$11*(D10^'Constants and exponents'!$C$12))</f>
        <v>1.482626070864542</v>
      </c>
      <c r="J10" s="4">
        <f>'Constants and exponents'!$C$15*(D10^'Constants and exponents'!$C$16)</f>
        <v>5.8483130781756661E-2</v>
      </c>
      <c r="K10" s="4">
        <f>(((I10/'Constants and exponents'!$C$34)/'Constants and exponents'!$C$37)^0.5)*0.7071067812</f>
        <v>1.6468459387525778</v>
      </c>
      <c r="L10" s="7">
        <f>(((I10/'Constants and exponents'!$C$34)/'Constants and exponents'!$C$37)/2)</f>
        <v>2.7121015458826649</v>
      </c>
      <c r="M10" s="6">
        <f>0.79*((('Constants and exponents'!$C$36*1000000000)/(9.81*'Constants and exponents'!$C$35))^0.33)*(J10^0.6667)</f>
        <v>11.323169951301102</v>
      </c>
      <c r="N10" s="14" t="str">
        <f t="shared" si="0"/>
        <v>False</v>
      </c>
      <c r="P10" s="5"/>
      <c r="Q10" s="49">
        <f t="shared" si="1"/>
        <v>0</v>
      </c>
      <c r="R10" s="5" t="str">
        <f>IF(Q10&gt;('Constants and exponents'!$F$44/100),"True","False")</f>
        <v>False</v>
      </c>
    </row>
    <row r="11" spans="1:20" s="4" customFormat="1" x14ac:dyDescent="0.15">
      <c r="A11" s="7">
        <f t="shared" si="3"/>
        <v>9</v>
      </c>
      <c r="B11" s="7">
        <f>'Constants and exponents'!$C$29*(I10^'Constants and exponents'!$C$30)*L10</f>
        <v>3.4074772946405441</v>
      </c>
      <c r="C11" s="7">
        <f t="shared" si="4"/>
        <v>10.820607648963254</v>
      </c>
      <c r="D11" s="7">
        <f>D10+('Constants and exponents'!$C$3*(B11^'Constants and exponents'!$C$4))</f>
        <v>8.6564861191706033</v>
      </c>
      <c r="E11" s="4">
        <f>('Constants and exponents'!$C$19*(J11^'Constants and exponents'!$C$20))-'Constants and exponents'!$C$21</f>
        <v>6.7394486491961558</v>
      </c>
      <c r="F11" s="4">
        <f>'Constants and exponents'!$C$25+('Constants and exponents'!$C$26*(LN(J11)))</f>
        <v>6.5344290153617912</v>
      </c>
      <c r="G11" s="4" t="str">
        <f t="shared" si="5"/>
        <v>False</v>
      </c>
      <c r="H11" s="4">
        <f t="shared" si="6"/>
        <v>6.7394486491961558</v>
      </c>
      <c r="I11" s="4">
        <f>IF(G11="False",'Constants and exponents'!$C$7*(D11^'Constants and exponents'!$C$8),'Constants and exponents'!$C$11*(D11^'Constants and exponents'!$C$12))</f>
        <v>2.1641215297926508</v>
      </c>
      <c r="J11" s="4">
        <f>'Constants and exponents'!$C$15*(D11^'Constants and exponents'!$C$16)</f>
        <v>6.7394486491961558E-2</v>
      </c>
      <c r="K11" s="4">
        <f>(((I11/'Constants and exponents'!$C$34)/'Constants and exponents'!$C$37)^0.5)*0.7071067812</f>
        <v>1.9896559255875983</v>
      </c>
      <c r="L11" s="7">
        <f>(((I11/'Constants and exponents'!$C$34)/'Constants and exponents'!$C$37)/2)</f>
        <v>3.9587307020752154</v>
      </c>
      <c r="M11" s="6">
        <f>0.79*((('Constants and exponents'!$C$36*1000000000)/(9.81*'Constants and exponents'!$C$35))^0.33)*(J11^0.6667)</f>
        <v>12.446079826971824</v>
      </c>
      <c r="N11" s="14" t="str">
        <f t="shared" si="0"/>
        <v>False</v>
      </c>
      <c r="O11"/>
      <c r="P11" s="5"/>
      <c r="Q11" s="49">
        <f t="shared" si="1"/>
        <v>0</v>
      </c>
      <c r="R11" s="5" t="str">
        <f>IF(Q11&gt;('Constants and exponents'!$F$44/100),"True","False")</f>
        <v>False</v>
      </c>
    </row>
    <row r="12" spans="1:20" s="1" customFormat="1" x14ac:dyDescent="0.15">
      <c r="A12" s="17">
        <f t="shared" si="3"/>
        <v>10</v>
      </c>
      <c r="B12" s="7">
        <f>'Constants and exponents'!$C$29*(I11^'Constants and exponents'!$C$30)*L11</f>
        <v>4.1953720234547411</v>
      </c>
      <c r="C12" s="17">
        <f t="shared" si="4"/>
        <v>15.015979672417995</v>
      </c>
      <c r="D12" s="17">
        <f>D11+('Constants and exponents'!$C$3*(B12^'Constants and exponents'!$C$4))</f>
        <v>12.012783737934397</v>
      </c>
      <c r="E12" s="1">
        <f>('Constants and exponents'!$C$19*(J12^'Constants and exponents'!$C$20))-'Constants and exponents'!$C$21</f>
        <v>7.6205729831329991</v>
      </c>
      <c r="F12" s="1">
        <f>'Constants and exponents'!$C$25+('Constants and exponents'!$C$26*(LN(J12)))</f>
        <v>7.6034279670271765</v>
      </c>
      <c r="G12" s="1" t="str">
        <f t="shared" si="5"/>
        <v>False</v>
      </c>
      <c r="H12" s="1">
        <f t="shared" si="6"/>
        <v>7.6205729831329991</v>
      </c>
      <c r="I12" s="1">
        <f>IF(G12="False",'Constants and exponents'!$C$7*(D12^'Constants and exponents'!$C$8),'Constants and exponents'!$C$11*(D12^'Constants and exponents'!$C$12))</f>
        <v>3.0031959344835992</v>
      </c>
      <c r="J12" s="1">
        <f>'Constants and exponents'!$C$15*(D12^'Constants and exponents'!$C$16)</f>
        <v>7.6205729831329991E-2</v>
      </c>
      <c r="K12" s="1">
        <f>(((I12/'Constants and exponents'!$C$34)/'Constants and exponents'!$C$37)^0.5)*0.7071067812</f>
        <v>2.3438455526415662</v>
      </c>
      <c r="L12" s="17">
        <f>(((I12/'Constants and exponents'!$C$34)/'Constants and exponents'!$C$37)/2)</f>
        <v>5.49361197442862</v>
      </c>
      <c r="M12" s="18">
        <f>0.79*((('Constants and exponents'!$C$36*1000000000)/(9.81*'Constants and exponents'!$C$35))^0.33)*(J12^0.6667)</f>
        <v>13.508585202608955</v>
      </c>
      <c r="N12" s="17" t="str">
        <f t="shared" si="0"/>
        <v>False</v>
      </c>
      <c r="P12" s="5"/>
      <c r="Q12" s="49">
        <f t="shared" si="1"/>
        <v>1.1829776532417263E-16</v>
      </c>
      <c r="R12" s="5" t="str">
        <f>IF(Q12&gt;('Constants and exponents'!$F$44/100),"True","False")</f>
        <v>False</v>
      </c>
    </row>
    <row r="13" spans="1:20" s="4" customFormat="1" x14ac:dyDescent="0.15">
      <c r="A13" s="7">
        <f t="shared" si="3"/>
        <v>11</v>
      </c>
      <c r="B13" s="7">
        <f>'Constants and exponents'!$C$29*(I12^'Constants and exponents'!$C$30)*L12</f>
        <v>5.0238491419194471</v>
      </c>
      <c r="C13" s="7">
        <f t="shared" si="4"/>
        <v>20.039828814337444</v>
      </c>
      <c r="D13" s="7">
        <f>D12+('Constants and exponents'!$C$3*(B13^'Constants and exponents'!$C$4))</f>
        <v>16.031863051469955</v>
      </c>
      <c r="E13" s="4">
        <f>('Constants and exponents'!$C$19*(J13^'Constants and exponents'!$C$20))-'Constants and exponents'!$C$21</f>
        <v>8.4916141605412534</v>
      </c>
      <c r="F13" s="4">
        <f>'Constants and exponents'!$C$25+('Constants and exponents'!$C$26*(LN(J13)))</f>
        <v>8.5450076142680267</v>
      </c>
      <c r="G13" s="4" t="str">
        <f t="shared" si="5"/>
        <v>True</v>
      </c>
      <c r="H13" s="4">
        <f t="shared" si="6"/>
        <v>8.5450076142680267</v>
      </c>
      <c r="I13" s="4">
        <f>IF(G13="False",'Constants and exponents'!$C$7*(D13^'Constants and exponents'!$C$8),'Constants and exponents'!$C$11*(D13^'Constants and exponents'!$C$12))</f>
        <v>3.6854950092991308</v>
      </c>
      <c r="J13" s="4">
        <f>'Constants and exponents'!$C$15*(D13^'Constants and exponents'!$C$16)</f>
        <v>8.4916141605412526E-2</v>
      </c>
      <c r="K13" s="4">
        <f>(((I13/'Constants and exponents'!$C$34)/'Constants and exponents'!$C$37)^0.5)*0.7071067812</f>
        <v>2.5964805313097665</v>
      </c>
      <c r="L13" s="7">
        <f>(((I13/'Constants and exponents'!$C$34)/'Constants and exponents'!$C$37)/2)</f>
        <v>6.7417111492141286</v>
      </c>
      <c r="M13" s="6">
        <f>0.79*((('Constants and exponents'!$C$36*1000000000)/(9.81*'Constants and exponents'!$C$35))^0.33)*(J13^0.6667)</f>
        <v>14.519328023392825</v>
      </c>
      <c r="N13" s="14" t="str">
        <f t="shared" si="0"/>
        <v>False</v>
      </c>
      <c r="O13"/>
      <c r="P13" s="5"/>
      <c r="Q13" s="49">
        <f t="shared" si="1"/>
        <v>1.6091492425207056E-2</v>
      </c>
      <c r="R13" s="5" t="str">
        <f>IF(Q13&gt;('Constants and exponents'!$F$44/100),"True","False")</f>
        <v>False</v>
      </c>
    </row>
    <row r="14" spans="1:20" s="4" customFormat="1" x14ac:dyDescent="0.15">
      <c r="A14" s="7">
        <f t="shared" si="3"/>
        <v>12</v>
      </c>
      <c r="B14" s="7">
        <f>'Constants and exponents'!$C$29*(I13^'Constants and exponents'!$C$30)*L13</f>
        <v>5.6226141057964147</v>
      </c>
      <c r="C14" s="7">
        <f t="shared" si="4"/>
        <v>25.339972166565502</v>
      </c>
      <c r="D14" s="7">
        <f>D13+('Constants and exponents'!$C$3*(B14^'Constants and exponents'!$C$4))</f>
        <v>20.529954336107089</v>
      </c>
      <c r="E14" s="4">
        <f>('Constants and exponents'!$C$19*(J14^'Constants and exponents'!$C$20))-'Constants and exponents'!$C$21</f>
        <v>9.3167994792704718</v>
      </c>
      <c r="F14" s="4">
        <f>'Constants and exponents'!$C$25+('Constants and exponents'!$C$26*(LN(J14)))</f>
        <v>9.3518461279241656</v>
      </c>
      <c r="G14" s="4" t="str">
        <f t="shared" si="5"/>
        <v>True</v>
      </c>
      <c r="H14" s="4">
        <f t="shared" si="6"/>
        <v>9.3518461279241656</v>
      </c>
      <c r="I14" s="4">
        <f>IF(G14="False",'Constants and exponents'!$C$7*(D14^'Constants and exponents'!$C$8),'Constants and exponents'!$C$11*(D14^'Constants and exponents'!$C$12))</f>
        <v>4.4365851296655423</v>
      </c>
      <c r="J14" s="4">
        <f>'Constants and exponents'!$C$15*(D14^'Constants and exponents'!$C$16)</f>
        <v>9.3167994792704711E-2</v>
      </c>
      <c r="K14" s="4">
        <f>(((I14/'Constants and exponents'!$C$34)/'Constants and exponents'!$C$37)^0.5)*0.7071067812</f>
        <v>2.8487974140950403</v>
      </c>
      <c r="L14" s="7">
        <f>(((I14/'Constants and exponents'!$C$34)/'Constants and exponents'!$C$37)/2)</f>
        <v>8.1156467062457924</v>
      </c>
      <c r="M14" s="6">
        <f>0.79*((('Constants and exponents'!$C$36*1000000000)/(9.81*'Constants and exponents'!$C$35))^0.33)*(J14^0.6667)</f>
        <v>15.445389217932831</v>
      </c>
      <c r="N14" s="14" t="str">
        <f t="shared" si="0"/>
        <v>False</v>
      </c>
      <c r="O14"/>
      <c r="P14" s="5"/>
      <c r="Q14" s="49">
        <f t="shared" si="1"/>
        <v>1.4736902563989114E-2</v>
      </c>
      <c r="R14" s="5" t="str">
        <f>IF(Q14&gt;('Constants and exponents'!$F$44/100),"True","False")</f>
        <v>False</v>
      </c>
    </row>
    <row r="15" spans="1:20" s="4" customFormat="1" x14ac:dyDescent="0.15">
      <c r="A15" s="7">
        <f t="shared" si="3"/>
        <v>13</v>
      </c>
      <c r="B15" s="7">
        <f>'Constants and exponents'!$C$29*(I14^'Constants and exponents'!$C$30)*L14</f>
        <v>6.2264775031112212</v>
      </c>
      <c r="C15" s="7">
        <f t="shared" si="4"/>
        <v>31.193016968883853</v>
      </c>
      <c r="D15" s="7">
        <f>D14+('Constants and exponents'!$C$3*(B15^'Constants and exponents'!$C$4))</f>
        <v>25.511136338596067</v>
      </c>
      <c r="E15" s="4">
        <f>('Constants and exponents'!$C$19*(J15^'Constants and exponents'!$C$20))-'Constants and exponents'!$C$21</f>
        <v>10.107527488717094</v>
      </c>
      <c r="F15" s="4">
        <f>'Constants and exponents'!$C$25+('Constants and exponents'!$C$26*(LN(J15)))</f>
        <v>10.060559228736647</v>
      </c>
      <c r="G15" s="4" t="str">
        <f t="shared" si="5"/>
        <v>True</v>
      </c>
      <c r="H15" s="4">
        <f t="shared" si="6"/>
        <v>10.060559228736647</v>
      </c>
      <c r="I15" s="4">
        <f>IF(G15="False",'Constants and exponents'!$C$7*(D15^'Constants and exponents'!$C$8),'Constants and exponents'!$C$11*(D15^'Constants and exponents'!$C$12))</f>
        <v>5.2216190544643313</v>
      </c>
      <c r="J15" s="4">
        <f>'Constants and exponents'!$C$15*(D15^'Constants and exponents'!$C$16)</f>
        <v>0.10107527488717094</v>
      </c>
      <c r="K15" s="4">
        <f>(((I15/'Constants and exponents'!$C$34)/'Constants and exponents'!$C$37)^0.5)*0.7071067812</f>
        <v>3.0905782867623182</v>
      </c>
      <c r="L15" s="7">
        <f>(((I15/'Constants and exponents'!$C$34)/'Constants and exponents'!$C$37)/2)</f>
        <v>9.5516741462432719</v>
      </c>
      <c r="M15" s="6">
        <f>0.79*((('Constants and exponents'!$C$36*1000000000)/(9.81*'Constants and exponents'!$C$35))^0.33)*(J15^0.6667)</f>
        <v>16.307428806487135</v>
      </c>
      <c r="N15" s="14" t="str">
        <f t="shared" si="0"/>
        <v>False</v>
      </c>
      <c r="O15"/>
      <c r="P15" s="5"/>
      <c r="Q15" s="49">
        <f t="shared" si="1"/>
        <v>1.4755276037665192E-2</v>
      </c>
      <c r="R15" s="5" t="str">
        <f>IF(Q15&gt;('Constants and exponents'!$F$44/100),"True","False")</f>
        <v>False</v>
      </c>
    </row>
    <row r="16" spans="1:20" s="4" customFormat="1" x14ac:dyDescent="0.15">
      <c r="A16" s="7">
        <f t="shared" si="3"/>
        <v>14</v>
      </c>
      <c r="B16" s="7">
        <f>'Constants and exponents'!$C$29*(I15^'Constants and exponents'!$C$30)*L15</f>
        <v>6.8101773856129739</v>
      </c>
      <c r="C16" s="7">
        <f t="shared" si="4"/>
        <v>37.542932778673375</v>
      </c>
      <c r="D16" s="7">
        <f>D15+('Constants and exponents'!$C$3*(B16^'Constants and exponents'!$C$4))</f>
        <v>30.959278247086445</v>
      </c>
      <c r="E16" s="4">
        <f>('Constants and exponents'!$C$19*(J16^'Constants and exponents'!$C$20))-'Constants and exponents'!$C$21</f>
        <v>10.868455086492252</v>
      </c>
      <c r="F16" s="4">
        <f>'Constants and exponents'!$C$25+('Constants and exponents'!$C$26*(LN(J16)))</f>
        <v>10.692041094572208</v>
      </c>
      <c r="G16" s="4" t="str">
        <f t="shared" si="5"/>
        <v>True</v>
      </c>
      <c r="H16" s="4">
        <f t="shared" si="6"/>
        <v>10.692041094572208</v>
      </c>
      <c r="I16" s="4">
        <f>IF(G16="False",'Constants and exponents'!$C$7*(D16^'Constants and exponents'!$C$8),'Constants and exponents'!$C$11*(D16^'Constants and exponents'!$C$12))</f>
        <v>6.0374139272073002</v>
      </c>
      <c r="J16" s="4">
        <f>'Constants and exponents'!$C$15*(D16^'Constants and exponents'!$C$16)</f>
        <v>0.10868455086492253</v>
      </c>
      <c r="K16" s="4">
        <f>(((I16/'Constants and exponents'!$C$34)/'Constants and exponents'!$C$37)^0.5)*0.7071067812</f>
        <v>3.3232470887128747</v>
      </c>
      <c r="L16" s="7">
        <f>(((I16/'Constants and exponents'!$C$34)/'Constants and exponents'!$C$37)/2)</f>
        <v>11.043971212218381</v>
      </c>
      <c r="M16" s="6">
        <f>0.79*((('Constants and exponents'!$C$36*1000000000)/(9.81*'Constants and exponents'!$C$35))^0.33)*(J16^0.6667)</f>
        <v>17.115981085288276</v>
      </c>
      <c r="N16" s="14" t="str">
        <f t="shared" si="0"/>
        <v>False</v>
      </c>
      <c r="O16"/>
      <c r="P16" s="5"/>
      <c r="Q16" s="49">
        <f t="shared" si="1"/>
        <v>1.4549758475180467E-2</v>
      </c>
      <c r="R16" s="5" t="str">
        <f>IF(Q16&gt;('Constants and exponents'!$F$44/100),"True","False")</f>
        <v>False</v>
      </c>
    </row>
    <row r="17" spans="1:18" s="1" customFormat="1" x14ac:dyDescent="0.15">
      <c r="A17" s="17">
        <f t="shared" si="3"/>
        <v>15</v>
      </c>
      <c r="B17" s="7">
        <f>'Constants and exponents'!$C$29*(I16^'Constants and exponents'!$C$30)*L16</f>
        <v>7.3762155014162625</v>
      </c>
      <c r="C17" s="17">
        <f t="shared" si="4"/>
        <v>44.372907675710003</v>
      </c>
      <c r="D17" s="17">
        <f>D16+('Constants and exponents'!$C$3*(B17^'Constants and exponents'!$C$4))</f>
        <v>36.860250648219456</v>
      </c>
      <c r="E17" s="1">
        <f>('Constants and exponents'!$C$19*(J17^'Constants and exponents'!$C$20))-'Constants and exponents'!$C$21</f>
        <v>11.603275695044417</v>
      </c>
      <c r="F17" s="1">
        <f>'Constants and exponents'!$C$25+('Constants and exponents'!$C$26*(LN(J17)))</f>
        <v>11.261220159948628</v>
      </c>
      <c r="G17" s="1" t="str">
        <f t="shared" si="5"/>
        <v>True</v>
      </c>
      <c r="H17" s="1">
        <f t="shared" si="6"/>
        <v>11.261220159948628</v>
      </c>
      <c r="I17" s="1">
        <f>IF(G17="False",'Constants and exponents'!$C$7*(D17^'Constants and exponents'!$C$8),'Constants and exponents'!$C$11*(D17^'Constants and exponents'!$C$12))</f>
        <v>6.8813959059328793</v>
      </c>
      <c r="J17" s="1">
        <f>'Constants and exponents'!$C$15*(D17^'Constants and exponents'!$C$16)</f>
        <v>0.11603275695044417</v>
      </c>
      <c r="K17" s="1">
        <f>(((I17/'Constants and exponents'!$C$34)/'Constants and exponents'!$C$37)^0.5)*0.7071067812</f>
        <v>3.5479331575849997</v>
      </c>
      <c r="L17" s="17">
        <f>(((I17/'Constants and exponents'!$C$34)/'Constants and exponents'!$C$37)/2)</f>
        <v>12.587829690212109</v>
      </c>
      <c r="M17" s="18">
        <f>0.79*((('Constants and exponents'!$C$36*1000000000)/(9.81*'Constants and exponents'!$C$35))^0.33)*(J17^0.6667)</f>
        <v>17.879057007449045</v>
      </c>
      <c r="N17" s="17" t="str">
        <f t="shared" si="0"/>
        <v>False</v>
      </c>
      <c r="P17" s="5"/>
      <c r="Q17" s="49">
        <f t="shared" si="1"/>
        <v>1.4226273521922635E-2</v>
      </c>
      <c r="R17" s="5" t="str">
        <f>IF(Q17&gt;('Constants and exponents'!$F$44/100),"True","False")</f>
        <v>False</v>
      </c>
    </row>
    <row r="18" spans="1:18" s="4" customFormat="1" x14ac:dyDescent="0.15">
      <c r="A18" s="7">
        <f t="shared" si="3"/>
        <v>16</v>
      </c>
      <c r="B18" s="7">
        <f>'Constants and exponents'!$C$29*(I17^'Constants and exponents'!$C$30)*L17</f>
        <v>7.926613312357345</v>
      </c>
      <c r="C18" s="7">
        <f t="shared" si="4"/>
        <v>51.668259866509679</v>
      </c>
      <c r="D18" s="7">
        <f>D17+('Constants and exponents'!$C$3*(B18^'Constants and exponents'!$C$4))</f>
        <v>43.201541298105333</v>
      </c>
      <c r="E18" s="4">
        <f>('Constants and exponents'!$C$19*(J18^'Constants and exponents'!$C$20))-'Constants and exponents'!$C$21</f>
        <v>12.3149731767221</v>
      </c>
      <c r="F18" s="4">
        <f>'Constants and exponents'!$C$25+('Constants and exponents'!$C$26*(LN(J18)))</f>
        <v>11.779117307110404</v>
      </c>
      <c r="G18" s="4" t="str">
        <f t="shared" si="5"/>
        <v>True</v>
      </c>
      <c r="H18" s="4">
        <f t="shared" si="6"/>
        <v>11.779117307110404</v>
      </c>
      <c r="I18" s="4">
        <f>IF(G18="False",'Constants and exponents'!$C$7*(D18^'Constants and exponents'!$C$8),'Constants and exponents'!$C$11*(D18^'Constants and exponents'!$C$12))</f>
        <v>7.7514377331063358</v>
      </c>
      <c r="J18" s="4">
        <f>'Constants and exponents'!$C$15*(D18^'Constants and exponents'!$C$16)</f>
        <v>0.12314973176722101</v>
      </c>
      <c r="K18" s="4">
        <f>(((I18/'Constants and exponents'!$C$34)/'Constants and exponents'!$C$37)^0.5)*0.7071067812</f>
        <v>3.7655488688528451</v>
      </c>
      <c r="L18" s="7">
        <f>(((I18/'Constants and exponents'!$C$34)/'Constants and exponents'!$C$37)/2)</f>
        <v>14.179358283179427</v>
      </c>
      <c r="M18" s="6">
        <f>0.79*((('Constants and exponents'!$C$36*1000000000)/(9.81*'Constants and exponents'!$C$35))^0.33)*(J18^0.6667)</f>
        <v>18.602902514394717</v>
      </c>
      <c r="N18" s="14" t="str">
        <f t="shared" si="0"/>
        <v>False</v>
      </c>
      <c r="O18"/>
      <c r="P18" s="5"/>
      <c r="Q18" s="49">
        <f t="shared" si="1"/>
        <v>1.3843718312674214E-2</v>
      </c>
      <c r="R18" s="5" t="str">
        <f>IF(Q18&gt;('Constants and exponents'!$F$44/100),"True","False")</f>
        <v>False</v>
      </c>
    </row>
    <row r="19" spans="1:18" s="4" customFormat="1" x14ac:dyDescent="0.15">
      <c r="A19" s="7">
        <f t="shared" si="3"/>
        <v>17</v>
      </c>
      <c r="B19" s="7">
        <f>'Constants and exponents'!$C$29*(I18^'Constants and exponents'!$C$30)*L18</f>
        <v>8.4630287690544872</v>
      </c>
      <c r="C19" s="7">
        <f t="shared" si="4"/>
        <v>59.416007800266158</v>
      </c>
      <c r="D19" s="7">
        <f>D18+('Constants and exponents'!$C$3*(B19^'Constants and exponents'!$C$4))</f>
        <v>49.97196431334892</v>
      </c>
      <c r="E19" s="4">
        <f>('Constants and exponents'!$C$19*(J19^'Constants and exponents'!$C$20))-'Constants and exponents'!$C$21</f>
        <v>13.005997394050425</v>
      </c>
      <c r="F19" s="4">
        <f>'Constants and exponents'!$C$25+('Constants and exponents'!$C$26*(LN(J19)))</f>
        <v>12.254091506914889</v>
      </c>
      <c r="G19" s="4" t="str">
        <f t="shared" si="5"/>
        <v>True</v>
      </c>
      <c r="H19" s="4">
        <f t="shared" si="6"/>
        <v>12.254091506914889</v>
      </c>
      <c r="I19" s="4">
        <f>IF(G19="False",'Constants and exponents'!$C$7*(D19^'Constants and exponents'!$C$8),'Constants and exponents'!$C$11*(D19^'Constants and exponents'!$C$12))</f>
        <v>8.6457494864957063</v>
      </c>
      <c r="J19" s="4">
        <f>'Constants and exponents'!$C$15*(D19^'Constants and exponents'!$C$16)</f>
        <v>0.13005997394050425</v>
      </c>
      <c r="K19" s="4">
        <f>(((I19/'Constants and exponents'!$C$34)/'Constants and exponents'!$C$37)^0.5)*0.7071067812</f>
        <v>3.9768433168853501</v>
      </c>
      <c r="L19" s="7">
        <f>(((I19/'Constants and exponents'!$C$34)/'Constants and exponents'!$C$37)/2)</f>
        <v>15.815282766453908</v>
      </c>
      <c r="M19" s="6">
        <f>0.79*((('Constants and exponents'!$C$36*1000000000)/(9.81*'Constants and exponents'!$C$35))^0.33)*(J19^0.6667)</f>
        <v>19.292490519419562</v>
      </c>
      <c r="N19" s="14" t="str">
        <f t="shared" si="0"/>
        <v>False</v>
      </c>
      <c r="O19"/>
      <c r="P19" s="5"/>
      <c r="Q19" s="49">
        <f t="shared" si="1"/>
        <v>1.3435672135783568E-2</v>
      </c>
      <c r="R19" s="5" t="str">
        <f>IF(Q19&gt;('Constants and exponents'!$F$44/100),"True","False")</f>
        <v>False</v>
      </c>
    </row>
    <row r="20" spans="1:18" s="4" customFormat="1" x14ac:dyDescent="0.15">
      <c r="A20" s="7">
        <f t="shared" si="3"/>
        <v>18</v>
      </c>
      <c r="B20" s="7">
        <f>'Constants and exponents'!$C$29*(I19^'Constants and exponents'!$C$30)*L19</f>
        <v>8.9868403974075601</v>
      </c>
      <c r="C20" s="7">
        <f t="shared" si="4"/>
        <v>67.604554197252185</v>
      </c>
      <c r="D20" s="7">
        <f>D19+('Constants and exponents'!$C$3*(B20^'Constants and exponents'!$C$4))</f>
        <v>57.161436631274967</v>
      </c>
      <c r="E20" s="4">
        <f>('Constants and exponents'!$C$19*(J20^'Constants and exponents'!$C$20))-'Constants and exponents'!$C$21</f>
        <v>13.678388369578547</v>
      </c>
      <c r="F20" s="4">
        <f>'Constants and exponents'!$C$25+('Constants and exponents'!$C$26*(LN(J20)))</f>
        <v>12.692628117216849</v>
      </c>
      <c r="G20" s="4" t="str">
        <f t="shared" si="5"/>
        <v>True</v>
      </c>
      <c r="H20" s="4">
        <f t="shared" si="6"/>
        <v>12.692628117216849</v>
      </c>
      <c r="I20" s="4">
        <f>IF(G20="False",'Constants and exponents'!$C$7*(D20^'Constants and exponents'!$C$8),'Constants and exponents'!$C$11*(D20^'Constants and exponents'!$C$12))</f>
        <v>9.5628024287722226</v>
      </c>
      <c r="J20" s="4">
        <f>'Constants and exponents'!$C$15*(D20^'Constants and exponents'!$C$16)</f>
        <v>0.13678388369578548</v>
      </c>
      <c r="K20" s="4">
        <f>(((I20/'Constants and exponents'!$C$34)/'Constants and exponents'!$C$37)^0.5)*0.7071067812</f>
        <v>4.182440279297956</v>
      </c>
      <c r="L20" s="7">
        <f>(((I20/'Constants and exponents'!$C$34)/'Constants and exponents'!$C$37)/2)</f>
        <v>17.492806689228377</v>
      </c>
      <c r="M20" s="6">
        <f>0.79*((('Constants and exponents'!$C$36*1000000000)/(9.81*'Constants and exponents'!$C$35))^0.33)*(J20^0.6667)</f>
        <v>19.951851501211312</v>
      </c>
      <c r="N20" s="14" t="str">
        <f t="shared" si="0"/>
        <v>False</v>
      </c>
      <c r="O20"/>
      <c r="P20" s="5"/>
      <c r="Q20" s="49">
        <f t="shared" si="1"/>
        <v>1.3021536014222889E-2</v>
      </c>
      <c r="R20" s="5" t="str">
        <f>IF(Q20&gt;('Constants and exponents'!$F$44/100),"True","False")</f>
        <v>False</v>
      </c>
    </row>
    <row r="21" spans="1:18" s="4" customFormat="1" x14ac:dyDescent="0.15">
      <c r="A21" s="7">
        <f t="shared" si="3"/>
        <v>19</v>
      </c>
      <c r="B21" s="7">
        <f>'Constants and exponents'!$C$29*(I20^'Constants and exponents'!$C$30)*L20</f>
        <v>9.4992085714643508</v>
      </c>
      <c r="C21" s="7">
        <f t="shared" si="4"/>
        <v>76.223447631511533</v>
      </c>
      <c r="D21" s="7">
        <f>D20+('Constants and exponents'!$C$3*(B21^'Constants and exponents'!$C$4))</f>
        <v>64.760803488446442</v>
      </c>
      <c r="E21" s="4">
        <f>('Constants and exponents'!$C$19*(J21^'Constants and exponents'!$C$20))-'Constants and exponents'!$C$21</f>
        <v>14.333866007261284</v>
      </c>
      <c r="F21" s="4">
        <f>'Constants and exponents'!$C$25+('Constants and exponents'!$C$26*(LN(J21)))</f>
        <v>13.099856791703864</v>
      </c>
      <c r="G21" s="4" t="str">
        <f t="shared" si="5"/>
        <v>True</v>
      </c>
      <c r="H21" s="4">
        <f t="shared" si="6"/>
        <v>13.099856791703864</v>
      </c>
      <c r="I21" s="4">
        <f>IF(G21="False",'Constants and exponents'!$C$7*(D21^'Constants and exponents'!$C$8),'Constants and exponents'!$C$11*(D21^'Constants and exponents'!$C$12))</f>
        <v>10.501274307610604</v>
      </c>
      <c r="J21" s="4">
        <f>'Constants and exponents'!$C$15*(D21^'Constants and exponents'!$C$16)</f>
        <v>0.14333866007261284</v>
      </c>
      <c r="K21" s="4">
        <f>(((I21/'Constants and exponents'!$C$34)/'Constants and exponents'!$C$37)^0.5)*0.7071067812</f>
        <v>4.3828656510559751</v>
      </c>
      <c r="L21" s="7">
        <f>(((I21/'Constants and exponents'!$C$34)/'Constants and exponents'!$C$37)/2)</f>
        <v>19.209511314475403</v>
      </c>
      <c r="M21" s="6">
        <f>0.79*((('Constants and exponents'!$C$36*1000000000)/(9.81*'Constants and exponents'!$C$35))^0.33)*(J21^0.6667)</f>
        <v>20.58430245948982</v>
      </c>
      <c r="N21" s="14" t="str">
        <f t="shared" si="0"/>
        <v>False</v>
      </c>
      <c r="O21"/>
      <c r="P21" s="5"/>
      <c r="Q21" s="49">
        <f t="shared" si="1"/>
        <v>1.2612521019805603E-2</v>
      </c>
      <c r="R21" s="5" t="str">
        <f>IF(Q21&gt;('Constants and exponents'!$F$44/100),"True","False")</f>
        <v>False</v>
      </c>
    </row>
    <row r="22" spans="1:18" s="1" customFormat="1" x14ac:dyDescent="0.15">
      <c r="A22" s="17">
        <f t="shared" si="3"/>
        <v>20</v>
      </c>
      <c r="B22" s="7">
        <f>'Constants and exponents'!$C$29*(I21^'Constants and exponents'!$C$30)*L21</f>
        <v>10.001120831371741</v>
      </c>
      <c r="C22" s="17">
        <f t="shared" si="4"/>
        <v>85.263198627428778</v>
      </c>
      <c r="D22" s="17">
        <f>D21+('Constants and exponents'!$C$3*(B22^'Constants and exponents'!$C$4))</f>
        <v>72.761700153543842</v>
      </c>
      <c r="E22" s="1">
        <f>('Constants and exponents'!$C$19*(J22^'Constants and exponents'!$C$20))-'Constants and exponents'!$C$21</f>
        <v>14.973896228286906</v>
      </c>
      <c r="F22" s="1">
        <f>'Constants and exponents'!$C$25+('Constants and exponents'!$C$26*(LN(J22)))</f>
        <v>13.479902754728684</v>
      </c>
      <c r="G22" s="1" t="str">
        <f t="shared" si="5"/>
        <v>True</v>
      </c>
      <c r="H22" s="1">
        <f t="shared" si="6"/>
        <v>13.479902754728684</v>
      </c>
      <c r="I22" s="1">
        <f>IF(G22="False",'Constants and exponents'!$C$7*(D22^'Constants and exponents'!$C$8),'Constants and exponents'!$C$11*(D22^'Constants and exponents'!$C$12))</f>
        <v>11.460009044170247</v>
      </c>
      <c r="J22" s="1">
        <f>'Constants and exponents'!$C$15*(D22^'Constants and exponents'!$C$16)</f>
        <v>0.14973896228286906</v>
      </c>
      <c r="K22" s="1">
        <f>(((I22/'Constants and exponents'!$C$34)/'Constants and exponents'!$C$37)^0.5)*0.7071067812</f>
        <v>4.5785676668240809</v>
      </c>
      <c r="L22" s="17">
        <f>(((I22/'Constants and exponents'!$C$34)/'Constants and exponents'!$C$37)/2)</f>
        <v>20.963281878889266</v>
      </c>
      <c r="M22" s="18">
        <f>0.79*((('Constants and exponents'!$C$36*1000000000)/(9.81*'Constants and exponents'!$C$35))^0.33)*(J22^0.6667)</f>
        <v>21.192609680273559</v>
      </c>
      <c r="N22" s="17" t="str">
        <f t="shared" si="0"/>
        <v>False</v>
      </c>
      <c r="P22" s="5"/>
      <c r="Q22" s="49">
        <f t="shared" si="1"/>
        <v>1.2214993648850102E-2</v>
      </c>
      <c r="R22" s="5" t="str">
        <f>IF(Q22&gt;('Constants and exponents'!$F$44/100),"True","False")</f>
        <v>False</v>
      </c>
    </row>
    <row r="23" spans="1:18" s="4" customFormat="1" x14ac:dyDescent="0.15">
      <c r="A23" s="7">
        <f t="shared" si="3"/>
        <v>21</v>
      </c>
      <c r="B23" s="7">
        <f>'Constants and exponents'!$C$29*(I22^'Constants and exponents'!$C$30)*L22</f>
        <v>10.493425920595074</v>
      </c>
      <c r="C23" s="7">
        <f t="shared" si="4"/>
        <v>94.715135118309163</v>
      </c>
      <c r="D23" s="7">
        <f>D22+('Constants and exponents'!$C$3*(B23^'Constants and exponents'!$C$4))</f>
        <v>81.156440890019894</v>
      </c>
      <c r="E23" s="4">
        <f>('Constants and exponents'!$C$19*(J23^'Constants and exponents'!$C$20))-'Constants and exponents'!$C$21</f>
        <v>15.599740609784188</v>
      </c>
      <c r="F23" s="4">
        <f>'Constants and exponents'!$C$25+('Constants and exponents'!$C$26*(LN(J23)))</f>
        <v>13.836131674795649</v>
      </c>
      <c r="G23" s="4" t="str">
        <f t="shared" si="5"/>
        <v>True</v>
      </c>
      <c r="H23" s="4">
        <f t="shared" si="6"/>
        <v>13.836131674795649</v>
      </c>
      <c r="I23" s="4">
        <f>IF(G23="False",'Constants and exponents'!$C$7*(D23^'Constants and exponents'!$C$8),'Constants and exponents'!$C$11*(D23^'Constants and exponents'!$C$12))</f>
        <v>12.437986362508108</v>
      </c>
      <c r="J23" s="4">
        <f>'Constants and exponents'!$C$15*(D23^'Constants and exponents'!$C$16)</f>
        <v>0.15599740609784188</v>
      </c>
      <c r="K23" s="4">
        <f>(((I23/'Constants and exponents'!$C$34)/'Constants and exponents'!$C$37)^0.5)*0.7071067812</f>
        <v>4.769932078991828</v>
      </c>
      <c r="L23" s="7">
        <f>(((I23/'Constants and exponents'!$C$34)/'Constants and exponents'!$C$37)/2)</f>
        <v>22.75225203732959</v>
      </c>
      <c r="M23" s="6">
        <f>0.79*((('Constants and exponents'!$C$36*1000000000)/(9.81*'Constants and exponents'!$C$35))^0.33)*(J23^0.6667)</f>
        <v>21.779107115118407</v>
      </c>
      <c r="N23" s="14" t="str">
        <f t="shared" si="0"/>
        <v>False</v>
      </c>
      <c r="O23"/>
      <c r="P23" s="5"/>
      <c r="Q23" s="49">
        <f t="shared" si="1"/>
        <v>1.1832405289622134E-2</v>
      </c>
      <c r="R23" s="5" t="str">
        <f>IF(Q23&gt;('Constants and exponents'!$F$44/100),"True","False")</f>
        <v>False</v>
      </c>
    </row>
    <row r="24" spans="1:18" s="4" customFormat="1" x14ac:dyDescent="0.15">
      <c r="A24" s="7">
        <f t="shared" si="3"/>
        <v>22</v>
      </c>
      <c r="B24" s="7">
        <f>'Constants and exponents'!$C$29*(I23^'Constants and exponents'!$C$30)*L23</f>
        <v>10.976859733969166</v>
      </c>
      <c r="C24" s="7">
        <f t="shared" si="4"/>
        <v>104.57128698649717</v>
      </c>
      <c r="D24" s="7">
        <f>D23+('Constants and exponents'!$C$3*(B24^'Constants and exponents'!$C$4))</f>
        <v>89.937928677195231</v>
      </c>
      <c r="E24" s="4">
        <f>('Constants and exponents'!$C$19*(J24^'Constants and exponents'!$C$20))-'Constants and exponents'!$C$21</f>
        <v>16.212494255269611</v>
      </c>
      <c r="F24" s="4">
        <f>'Constants and exponents'!$C$25+('Constants and exponents'!$C$26*(LN(J24)))</f>
        <v>14.171324481039035</v>
      </c>
      <c r="G24" s="4" t="str">
        <f t="shared" si="5"/>
        <v>True</v>
      </c>
      <c r="H24" s="4">
        <f t="shared" si="6"/>
        <v>14.171324481039035</v>
      </c>
      <c r="I24" s="4">
        <f>IF(G24="False",'Constants and exponents'!$C$7*(D24^'Constants and exponents'!$C$8),'Constants and exponents'!$C$11*(D24^'Constants and exponents'!$C$12))</f>
        <v>13.434298465498784</v>
      </c>
      <c r="J24" s="4">
        <f>'Constants and exponents'!$C$15*(D24^'Constants and exponents'!$C$16)</f>
        <v>0.16212494255269611</v>
      </c>
      <c r="K24" s="4">
        <f>(((I24/'Constants and exponents'!$C$34)/'Constants and exponents'!$C$37)^0.5)*0.7071067812</f>
        <v>4.9572937373188211</v>
      </c>
      <c r="L24" s="7">
        <f>(((I24/'Constants and exponents'!$C$34)/'Constants and exponents'!$C$37)/2)</f>
        <v>24.574761197125351</v>
      </c>
      <c r="M24" s="6">
        <f>0.79*((('Constants and exponents'!$C$36*1000000000)/(9.81*'Constants and exponents'!$C$35))^0.33)*(J24^0.6667)</f>
        <v>22.345784220898508</v>
      </c>
      <c r="N24" s="14" t="str">
        <f t="shared" si="0"/>
        <v>False</v>
      </c>
      <c r="O24"/>
      <c r="P24" s="5"/>
      <c r="Q24" s="49">
        <f t="shared" si="1"/>
        <v>1.1466434796369914E-2</v>
      </c>
      <c r="R24" s="5" t="str">
        <f>IF(Q24&gt;('Constants and exponents'!$F$44/100),"True","False")</f>
        <v>False</v>
      </c>
    </row>
    <row r="25" spans="1:18" s="4" customFormat="1" x14ac:dyDescent="0.15">
      <c r="A25" s="7">
        <f t="shared" si="3"/>
        <v>23</v>
      </c>
      <c r="B25" s="7">
        <f>'Constants and exponents'!$C$29*(I24^'Constants and exponents'!$C$30)*L24</f>
        <v>11.452065377962999</v>
      </c>
      <c r="C25" s="7">
        <f t="shared" si="4"/>
        <v>114.82429252065701</v>
      </c>
      <c r="D25" s="7">
        <f>D24+('Constants and exponents'!$C$3*(B25^'Constants and exponents'!$C$4))</f>
        <v>99.09958097956563</v>
      </c>
      <c r="E25" s="4">
        <f>('Constants and exponents'!$C$19*(J25^'Constants and exponents'!$C$20))-'Constants and exponents'!$C$21</f>
        <v>16.813115116852071</v>
      </c>
      <c r="F25" s="4">
        <f>'Constants and exponents'!$C$25+('Constants and exponents'!$C$26*(LN(J25)))</f>
        <v>14.487804800951592</v>
      </c>
      <c r="G25" s="4" t="str">
        <f t="shared" si="5"/>
        <v>True</v>
      </c>
      <c r="H25" s="4">
        <f t="shared" si="6"/>
        <v>14.487804800951592</v>
      </c>
      <c r="I25" s="4">
        <f>IF(G25="False",'Constants and exponents'!$C$7*(D25^'Constants and exponents'!$C$8),'Constants and exponents'!$C$11*(D25^'Constants and exponents'!$C$12))</f>
        <v>14.448131818773227</v>
      </c>
      <c r="J25" s="4">
        <f>'Constants and exponents'!$C$15*(D25^'Constants and exponents'!$C$16)</f>
        <v>0.1681311511685207</v>
      </c>
      <c r="K25" s="4">
        <f>(((I25/'Constants and exponents'!$C$34)/'Constants and exponents'!$C$37)^0.5)*0.7071067812</f>
        <v>5.140945554784107</v>
      </c>
      <c r="L25" s="7">
        <f>(((I25/'Constants and exponents'!$C$34)/'Constants and exponents'!$C$37)/2)</f>
        <v>26.429321196248853</v>
      </c>
      <c r="M25" s="6">
        <f>0.79*((('Constants and exponents'!$C$36*1000000000)/(9.81*'Constants and exponents'!$C$35))^0.33)*(J25^0.6667)</f>
        <v>22.894352304441195</v>
      </c>
      <c r="N25" s="14" t="str">
        <f t="shared" si="0"/>
        <v>False</v>
      </c>
      <c r="O25"/>
      <c r="P25" s="5"/>
      <c r="Q25" s="49">
        <f t="shared" si="1"/>
        <v>1.1117679841907048E-2</v>
      </c>
      <c r="R25" s="5" t="str">
        <f>IF(Q25&gt;('Constants and exponents'!$F$44/100),"True","False")</f>
        <v>False</v>
      </c>
    </row>
    <row r="26" spans="1:18" s="4" customFormat="1" x14ac:dyDescent="0.15">
      <c r="A26" s="7">
        <f t="shared" si="3"/>
        <v>24</v>
      </c>
      <c r="B26" s="7">
        <f>'Constants and exponents'!$C$29*(I25^'Constants and exponents'!$C$30)*L25</f>
        <v>11.919608881933467</v>
      </c>
      <c r="C26" s="7">
        <f t="shared" si="4"/>
        <v>125.46732168027233</v>
      </c>
      <c r="D26" s="7">
        <f>D25+('Constants and exponents'!$C$3*(B26^'Constants and exponents'!$C$4))</f>
        <v>108.6352680851124</v>
      </c>
      <c r="E26" s="4">
        <f>('Constants and exponents'!$C$19*(J26^'Constants and exponents'!$C$20))-'Constants and exponents'!$C$21</f>
        <v>17.402447004447595</v>
      </c>
      <c r="F26" s="4">
        <f>'Constants and exponents'!$C$25+('Constants and exponents'!$C$26*(LN(J26)))</f>
        <v>14.787533592221623</v>
      </c>
      <c r="G26" s="4" t="str">
        <f t="shared" si="5"/>
        <v>True</v>
      </c>
      <c r="H26" s="4">
        <f t="shared" si="6"/>
        <v>14.787533592221623</v>
      </c>
      <c r="I26" s="4">
        <f>IF(G26="False",'Constants and exponents'!$C$7*(D26^'Constants and exponents'!$C$8),'Constants and exponents'!$C$11*(D26^'Constants and exponents'!$C$12))</f>
        <v>15.478752711288813</v>
      </c>
      <c r="J26" s="4">
        <f>'Constants and exponents'!$C$15*(D26^'Constants and exponents'!$C$16)</f>
        <v>0.17402447004447597</v>
      </c>
      <c r="K26" s="4">
        <f>(((I26/'Constants and exponents'!$C$34)/'Constants and exponents'!$C$37)^0.5)*0.7071067812</f>
        <v>5.3211455431128618</v>
      </c>
      <c r="L26" s="7">
        <f>(((I26/'Constants and exponents'!$C$34)/'Constants and exponents'!$C$37)/2)</f>
        <v>28.314589889912519</v>
      </c>
      <c r="M26" s="6">
        <f>0.79*((('Constants and exponents'!$C$36*1000000000)/(9.81*'Constants and exponents'!$C$35))^0.33)*(J26^0.6667)</f>
        <v>23.426295429273079</v>
      </c>
      <c r="N26" s="14" t="str">
        <f t="shared" si="0"/>
        <v>False</v>
      </c>
      <c r="O26"/>
      <c r="P26" s="5"/>
      <c r="Q26" s="49">
        <f t="shared" si="1"/>
        <v>1.0786082509354405E-2</v>
      </c>
      <c r="R26" s="5" t="str">
        <f>IF(Q26&gt;('Constants and exponents'!$F$44/100),"True","False")</f>
        <v>False</v>
      </c>
    </row>
    <row r="27" spans="1:18" s="1" customFormat="1" x14ac:dyDescent="0.15">
      <c r="A27" s="17">
        <f t="shared" si="3"/>
        <v>25</v>
      </c>
      <c r="B27" s="7">
        <f>'Constants and exponents'!$C$29*(I26^'Constants and exponents'!$C$30)*L26</f>
        <v>12.379991651523749</v>
      </c>
      <c r="C27" s="17">
        <f t="shared" si="4"/>
        <v>136.49401244792494</v>
      </c>
      <c r="D27" s="17">
        <f>D26+('Constants and exponents'!$C$3*(B27^'Constants and exponents'!$C$4))</f>
        <v>118.53926140633141</v>
      </c>
      <c r="E27" s="1">
        <f>('Constants and exponents'!$C$19*(J27^'Constants and exponents'!$C$20))-'Constants and exponents'!$C$21</f>
        <v>17.981237861670675</v>
      </c>
      <c r="F27" s="1">
        <f>'Constants and exponents'!$C$25+('Constants and exponents'!$C$26*(LN(J27)))</f>
        <v>15.072180579288938</v>
      </c>
      <c r="G27" s="1" t="str">
        <f t="shared" si="5"/>
        <v>True</v>
      </c>
      <c r="H27" s="1">
        <f t="shared" si="6"/>
        <v>15.072180579288938</v>
      </c>
      <c r="I27" s="1">
        <f>IF(G27="False",'Constants and exponents'!$C$7*(D27^'Constants and exponents'!$C$8),'Constants and exponents'!$C$11*(D27^'Constants and exponents'!$C$12))</f>
        <v>16.525495657496709</v>
      </c>
      <c r="J27" s="1">
        <f>'Constants and exponents'!$C$15*(D27^'Constants and exponents'!$C$16)</f>
        <v>0.17981237861670674</v>
      </c>
      <c r="K27" s="1">
        <f>(((I27/'Constants and exponents'!$C$34)/'Constants and exponents'!$C$37)^0.5)*0.7071067812</f>
        <v>5.498122400994971</v>
      </c>
      <c r="L27" s="17">
        <f>(((I27/'Constants and exponents'!$C$34)/'Constants and exponents'!$C$37)/2)</f>
        <v>30.229349935172493</v>
      </c>
      <c r="M27" s="18">
        <f>0.79*((('Constants and exponents'!$C$36*1000000000)/(9.81*'Constants and exponents'!$C$35))^0.33)*(J27^0.6667)</f>
        <v>23.942910032866699</v>
      </c>
      <c r="N27" s="17" t="str">
        <f t="shared" si="0"/>
        <v>False</v>
      </c>
      <c r="P27" s="5"/>
      <c r="Q27" s="49">
        <f t="shared" si="1"/>
        <v>1.0471194732018796E-2</v>
      </c>
      <c r="R27" s="5" t="str">
        <f>IF(Q27&gt;('Constants and exponents'!$F$44/100),"True","False")</f>
        <v>False</v>
      </c>
    </row>
    <row r="28" spans="1:18" s="4" customFormat="1" x14ac:dyDescent="0.15">
      <c r="A28" s="7">
        <f t="shared" si="3"/>
        <v>26</v>
      </c>
      <c r="B28" s="7">
        <f>'Constants and exponents'!$C$29*(I27^'Constants and exponents'!$C$30)*L27</f>
        <v>12.83366044913663</v>
      </c>
      <c r="C28" s="7">
        <f t="shared" si="4"/>
        <v>147.89841751296476</v>
      </c>
      <c r="D28" s="7">
        <f>D27+('Constants and exponents'!$C$3*(B28^'Constants and exponents'!$C$4))</f>
        <v>128.80618976564071</v>
      </c>
      <c r="E28" s="4">
        <f>('Constants and exponents'!$C$19*(J28^'Constants and exponents'!$C$20))-'Constants and exponents'!$C$21</f>
        <v>18.550154443360864</v>
      </c>
      <c r="F28" s="4">
        <f>'Constants and exponents'!$C$25+('Constants and exponents'!$C$26*(LN(J28)))</f>
        <v>15.343178980719571</v>
      </c>
      <c r="G28" s="4" t="str">
        <f t="shared" si="5"/>
        <v>True</v>
      </c>
      <c r="H28" s="4">
        <f t="shared" si="6"/>
        <v>15.343178980719571</v>
      </c>
      <c r="I28" s="4">
        <f>IF(G28="False",'Constants and exponents'!$C$7*(D28^'Constants and exponents'!$C$8),'Constants and exponents'!$C$11*(D28^'Constants and exponents'!$C$12))</f>
        <v>17.587753971263197</v>
      </c>
      <c r="J28" s="4">
        <f>'Constants and exponents'!$C$15*(D28^'Constants and exponents'!$C$16)</f>
        <v>0.18550154443360864</v>
      </c>
      <c r="K28" s="4">
        <f>(((I28/'Constants and exponents'!$C$34)/'Constants and exponents'!$C$37)^0.5)*0.7071067812</f>
        <v>5.6720800020317705</v>
      </c>
      <c r="L28" s="7">
        <f>(((I28/'Constants and exponents'!$C$34)/'Constants and exponents'!$C$37)/2)</f>
        <v>32.172491548224578</v>
      </c>
      <c r="M28" s="6">
        <f>0.79*((('Constants and exponents'!$C$36*1000000000)/(9.81*'Constants and exponents'!$C$35))^0.33)*(J28^0.6667)</f>
        <v>24.445336153005627</v>
      </c>
      <c r="N28" s="14" t="str">
        <f t="shared" si="0"/>
        <v>False</v>
      </c>
      <c r="O28"/>
      <c r="P28" s="5"/>
      <c r="Q28" s="49">
        <f t="shared" si="1"/>
        <v>1.0172345325662233E-2</v>
      </c>
      <c r="R28" s="5" t="str">
        <f>IF(Q28&gt;('Constants and exponents'!$F$44/100),"True","False")</f>
        <v>False</v>
      </c>
    </row>
    <row r="29" spans="1:18" s="4" customFormat="1" x14ac:dyDescent="0.15">
      <c r="A29" s="7">
        <f t="shared" si="3"/>
        <v>27</v>
      </c>
      <c r="B29" s="7">
        <f>'Constants and exponents'!$C$29*(I28^'Constants and exponents'!$C$30)*L28</f>
        <v>13.281015474019554</v>
      </c>
      <c r="C29" s="7">
        <f t="shared" si="4"/>
        <v>159.67495921092348</v>
      </c>
      <c r="D29" s="7">
        <f>D28+('Constants and exponents'!$C$3*(B29^'Constants and exponents'!$C$4))</f>
        <v>139.43100214485636</v>
      </c>
      <c r="E29" s="4">
        <f>('Constants and exponents'!$C$19*(J29^'Constants and exponents'!$C$20))-'Constants and exponents'!$C$21</f>
        <v>19.109794222699751</v>
      </c>
      <c r="F29" s="4">
        <f>'Constants and exponents'!$C$25+('Constants and exponents'!$C$26*(LN(J29)))</f>
        <v>15.601767996219772</v>
      </c>
      <c r="G29" s="4" t="str">
        <f t="shared" si="5"/>
        <v>True</v>
      </c>
      <c r="H29" s="4">
        <f t="shared" si="6"/>
        <v>15.601767996219772</v>
      </c>
      <c r="I29" s="4">
        <f>IF(G29="False",'Constants and exponents'!$C$7*(D29^'Constants and exponents'!$C$8),'Constants and exponents'!$C$11*(D29^'Constants and exponents'!$C$12))</f>
        <v>18.664972023067474</v>
      </c>
      <c r="J29" s="4">
        <f>'Constants and exponents'!$C$15*(D29^'Constants and exponents'!$C$16)</f>
        <v>0.19109794222699752</v>
      </c>
      <c r="K29" s="4">
        <f>(((I29/'Constants and exponents'!$C$34)/'Constants and exponents'!$C$37)^0.5)*0.7071067812</f>
        <v>5.8432010355747375</v>
      </c>
      <c r="L29" s="7">
        <f>(((I29/'Constants and exponents'!$C$34)/'Constants and exponents'!$C$37)/2)</f>
        <v>34.142998340842567</v>
      </c>
      <c r="M29" s="6">
        <f>0.79*((('Constants and exponents'!$C$36*1000000000)/(9.81*'Constants and exponents'!$C$35))^0.33)*(J29^0.6667)</f>
        <v>24.934582325584611</v>
      </c>
      <c r="N29" s="14" t="str">
        <f t="shared" si="0"/>
        <v>False</v>
      </c>
      <c r="O29"/>
      <c r="P29" s="5"/>
      <c r="Q29" s="49">
        <f t="shared" si="1"/>
        <v>9.8887455541095785E-3</v>
      </c>
      <c r="R29" s="5" t="str">
        <f>IF(Q29&gt;('Constants and exponents'!$F$44/100),"True","False")</f>
        <v>False</v>
      </c>
    </row>
    <row r="30" spans="1:18" s="4" customFormat="1" x14ac:dyDescent="0.15">
      <c r="A30" s="7">
        <f t="shared" si="3"/>
        <v>28</v>
      </c>
      <c r="B30" s="7">
        <f>'Constants and exponents'!$C$29*(I29^'Constants and exponents'!$C$30)*L29</f>
        <v>13.722416965121649</v>
      </c>
      <c r="C30" s="7">
        <f t="shared" si="4"/>
        <v>171.81839113304548</v>
      </c>
      <c r="D30" s="7">
        <f>D29+('Constants and exponents'!$C$3*(B30^'Constants and exponents'!$C$4))</f>
        <v>150.40893571695369</v>
      </c>
      <c r="E30" s="4">
        <f>('Constants and exponents'!$C$19*(J30^'Constants and exponents'!$C$20))-'Constants and exponents'!$C$21</f>
        <v>19.660695140444883</v>
      </c>
      <c r="F30" s="4">
        <f>'Constants and exponents'!$C$25+('Constants and exponents'!$C$26*(LN(J30)))</f>
        <v>15.84902619007887</v>
      </c>
      <c r="G30" s="4" t="str">
        <f t="shared" si="5"/>
        <v>True</v>
      </c>
      <c r="H30" s="4">
        <f t="shared" si="6"/>
        <v>15.84902619007887</v>
      </c>
      <c r="I30" s="4">
        <f>IF(G30="False",'Constants and exponents'!$C$7*(D30^'Constants and exponents'!$C$8),'Constants and exponents'!$C$11*(D30^'Constants and exponents'!$C$12))</f>
        <v>19.756638818504005</v>
      </c>
      <c r="J30" s="4">
        <f>'Constants and exponents'!$C$15*(D30^'Constants and exponents'!$C$16)</f>
        <v>0.19660695140444884</v>
      </c>
      <c r="K30" s="4">
        <f>(((I30/'Constants and exponents'!$C$34)/'Constants and exponents'!$C$37)^0.5)*0.7071067812</f>
        <v>6.011649987748366</v>
      </c>
      <c r="L30" s="7">
        <f>(((I30/'Constants and exponents'!$C$34)/'Constants and exponents'!$C$37)/2)</f>
        <v>36.139935573819827</v>
      </c>
      <c r="M30" s="6">
        <f>0.79*((('Constants and exponents'!$C$36*1000000000)/(9.81*'Constants and exponents'!$C$35))^0.33)*(J30^0.6667)</f>
        <v>25.411545645382155</v>
      </c>
      <c r="N30" s="14" t="str">
        <f t="shared" si="0"/>
        <v>False</v>
      </c>
      <c r="O30"/>
      <c r="P30" s="5"/>
      <c r="Q30" s="49">
        <f t="shared" si="1"/>
        <v>9.6195557803119489E-3</v>
      </c>
      <c r="R30" s="5" t="str">
        <f>IF(Q30&gt;('Constants and exponents'!$F$44/100),"True","False")</f>
        <v>False</v>
      </c>
    </row>
    <row r="31" spans="1:18" s="4" customFormat="1" x14ac:dyDescent="0.15">
      <c r="A31" s="7">
        <f t="shared" si="3"/>
        <v>29</v>
      </c>
      <c r="B31" s="7">
        <f>'Constants and exponents'!$C$29*(I30^'Constants and exponents'!$C$30)*L30</f>
        <v>14.158190643388876</v>
      </c>
      <c r="C31" s="7">
        <f t="shared" si="4"/>
        <v>184.32376517884657</v>
      </c>
      <c r="D31" s="7">
        <f>D30+('Constants and exponents'!$C$3*(B31^'Constants and exponents'!$C$4))</f>
        <v>161.73548823166479</v>
      </c>
      <c r="E31" s="4">
        <f>('Constants and exponents'!$C$19*(J31^'Constants and exponents'!$C$20))-'Constants and exponents'!$C$21</f>
        <v>20.203343655330972</v>
      </c>
      <c r="F31" s="4">
        <f>'Constants and exponents'!$C$25+('Constants and exponents'!$C$26*(LN(J31)))</f>
        <v>16.085898010249068</v>
      </c>
      <c r="G31" s="4" t="str">
        <f t="shared" si="5"/>
        <v>True</v>
      </c>
      <c r="H31" s="4">
        <f t="shared" si="6"/>
        <v>16.085898010249068</v>
      </c>
      <c r="I31" s="4">
        <f>IF(G31="False",'Constants and exponents'!$C$7*(D31^'Constants and exponents'!$C$8),'Constants and exponents'!$C$11*(D31^'Constants and exponents'!$C$12))</f>
        <v>20.862282625942782</v>
      </c>
      <c r="J31" s="4">
        <f>'Constants and exponents'!$C$15*(D31^'Constants and exponents'!$C$16)</f>
        <v>0.20203343655330971</v>
      </c>
      <c r="K31" s="4">
        <f>(((I31/'Constants and exponents'!$C$34)/'Constants and exponents'!$C$37)^0.5)*0.7071067812</f>
        <v>6.1775756030210314</v>
      </c>
      <c r="L31" s="7">
        <f>(((I31/'Constants and exponents'!$C$34)/'Constants and exponents'!$C$37)/2)</f>
        <v>38.162440329588598</v>
      </c>
      <c r="M31" s="6">
        <f>0.79*((('Constants and exponents'!$C$36*1000000000)/(9.81*'Constants and exponents'!$C$35))^0.33)*(J31^0.6667)</f>
        <v>25.877028084733762</v>
      </c>
      <c r="N31" s="14" t="str">
        <f t="shared" si="0"/>
        <v>False</v>
      </c>
      <c r="O31"/>
      <c r="P31" s="5"/>
      <c r="Q31" s="49">
        <f t="shared" si="1"/>
        <v>9.3639272155942206E-3</v>
      </c>
      <c r="R31" s="5" t="str">
        <f>IF(Q31&gt;('Constants and exponents'!$F$44/100),"True","False")</f>
        <v>False</v>
      </c>
    </row>
    <row r="32" spans="1:18" s="1" customFormat="1" x14ac:dyDescent="0.15">
      <c r="A32" s="17">
        <f t="shared" si="3"/>
        <v>30</v>
      </c>
      <c r="B32" s="7">
        <f>'Constants and exponents'!$C$29*(I31^'Constants and exponents'!$C$30)*L31</f>
        <v>14.588632233246182</v>
      </c>
      <c r="C32" s="17">
        <f t="shared" si="4"/>
        <v>197.18640309085376</v>
      </c>
      <c r="D32" s="17">
        <f>D31+('Constants and exponents'!$C$3*(B32^'Constants and exponents'!$C$4))</f>
        <v>173.40639401826172</v>
      </c>
      <c r="E32" s="1">
        <f>('Constants and exponents'!$C$19*(J32^'Constants and exponents'!$C$20))-'Constants and exponents'!$C$21</f>
        <v>20.738181443801256</v>
      </c>
      <c r="F32" s="1">
        <f>'Constants and exponents'!$C$25+('Constants and exponents'!$C$26*(LN(J32)))</f>
        <v>16.313215066207668</v>
      </c>
      <c r="G32" s="1" t="str">
        <f t="shared" si="5"/>
        <v>True</v>
      </c>
      <c r="H32" s="1">
        <f t="shared" si="6"/>
        <v>16.313215066207668</v>
      </c>
      <c r="I32" s="1">
        <f>IF(G32="False",'Constants and exponents'!$C$7*(D32^'Constants and exponents'!$C$8),'Constants and exponents'!$C$11*(D32^'Constants and exponents'!$C$12))</f>
        <v>21.981466446018946</v>
      </c>
      <c r="J32" s="1">
        <f>'Constants and exponents'!$C$15*(D32^'Constants and exponents'!$C$16)</f>
        <v>0.20738181443801257</v>
      </c>
      <c r="K32" s="1">
        <f>(((I32/'Constants and exponents'!$C$34)/'Constants and exponents'!$C$37)^0.5)*0.7071067812</f>
        <v>6.3411129327815905</v>
      </c>
      <c r="L32" s="17">
        <f>(((I32/'Constants and exponents'!$C$34)/'Constants and exponents'!$C$37)/2)</f>
        <v>40.209713224759987</v>
      </c>
      <c r="M32" s="18">
        <f>0.79*((('Constants and exponents'!$C$36*1000000000)/(9.81*'Constants and exponents'!$C$35))^0.33)*(J32^0.6667)</f>
        <v>26.331749884903946</v>
      </c>
      <c r="N32" s="17" t="str">
        <f t="shared" si="0"/>
        <v>False</v>
      </c>
      <c r="P32" s="5"/>
      <c r="Q32" s="49">
        <f t="shared" si="1"/>
        <v>9.1210276083002299E-3</v>
      </c>
      <c r="R32" s="5" t="str">
        <f>IF(Q32&gt;('Constants and exponents'!$F$44/100),"True","False")</f>
        <v>False</v>
      </c>
    </row>
    <row r="33" spans="1:18" s="4" customFormat="1" x14ac:dyDescent="0.15">
      <c r="A33" s="7">
        <f t="shared" si="3"/>
        <v>31</v>
      </c>
      <c r="B33" s="7">
        <f>'Constants and exponents'!$C$29*(I32^'Constants and exponents'!$C$30)*L32</f>
        <v>15.01401124676795</v>
      </c>
      <c r="C33" s="7">
        <f t="shared" si="4"/>
        <v>210.40187171104861</v>
      </c>
      <c r="D33" s="7">
        <f>D32+('Constants and exponents'!$C$3*(B33^'Constants and exponents'!$C$4))</f>
        <v>185.41760301567609</v>
      </c>
      <c r="E33" s="4">
        <f>('Constants and exponents'!$C$19*(J33^'Constants and exponents'!$C$20))-'Constants and exponents'!$C$21</f>
        <v>21.265611016064124</v>
      </c>
      <c r="F33" s="4">
        <f>'Constants and exponents'!$C$25+('Constants and exponents'!$C$26*(LN(J33)))</f>
        <v>16.531713358759074</v>
      </c>
      <c r="G33" s="4" t="str">
        <f t="shared" si="5"/>
        <v>True</v>
      </c>
      <c r="H33" s="4">
        <f t="shared" si="6"/>
        <v>16.531713358759074</v>
      </c>
      <c r="I33" s="4">
        <f>IF(G33="False",'Constants and exponents'!$C$7*(D33^'Constants and exponents'!$C$8),'Constants and exponents'!$C$11*(D33^'Constants and exponents'!$C$12))</f>
        <v>23.113784163090227</v>
      </c>
      <c r="J33" s="4">
        <f>'Constants and exponents'!$C$15*(D33^'Constants and exponents'!$C$16)</f>
        <v>0.21265611016064123</v>
      </c>
      <c r="K33" s="4">
        <f>(((I33/'Constants and exponents'!$C$34)/'Constants and exponents'!$C$37)^0.5)*0.7071067812</f>
        <v>6.5023850525607925</v>
      </c>
      <c r="L33" s="7">
        <f>(((I33/'Constants and exponents'!$C$34)/'Constants and exponents'!$C$37)/2)</f>
        <v>42.281011370157245</v>
      </c>
      <c r="M33" s="6">
        <f>0.79*((('Constants and exponents'!$C$36*1000000000)/(9.81*'Constants and exponents'!$C$35))^0.33)*(J33^0.6667)</f>
        <v>26.776360634109725</v>
      </c>
      <c r="N33" s="14" t="str">
        <f t="shared" si="0"/>
        <v>False</v>
      </c>
      <c r="O33"/>
      <c r="P33" s="5"/>
      <c r="Q33" s="49">
        <f t="shared" si="1"/>
        <v>8.8900565240744855E-3</v>
      </c>
      <c r="R33" s="5" t="str">
        <f>IF(Q33&gt;('Constants and exponents'!$F$44/100),"True","False")</f>
        <v>False</v>
      </c>
    </row>
    <row r="34" spans="1:18" s="4" customFormat="1" x14ac:dyDescent="0.15">
      <c r="A34" s="7">
        <f t="shared" si="3"/>
        <v>32</v>
      </c>
      <c r="B34" s="7">
        <f>'Constants and exponents'!$C$29*(I33^'Constants and exponents'!$C$30)*L33</f>
        <v>15.434574172423396</v>
      </c>
      <c r="C34" s="7">
        <f t="shared" si="4"/>
        <v>223.96596135118972</v>
      </c>
      <c r="D34" s="7">
        <f>D33+('Constants and exponents'!$C$3*(B34^'Constants and exponents'!$C$4))</f>
        <v>197.76526235361482</v>
      </c>
      <c r="E34" s="4">
        <f>('Constants and exponents'!$C$19*(J34^'Constants and exponents'!$C$20))-'Constants and exponents'!$C$21</f>
        <v>21.786000455333262</v>
      </c>
      <c r="F34" s="4">
        <f>'Constants and exponents'!$C$25+('Constants and exponents'!$C$26*(LN(J34)))</f>
        <v>16.742047350180151</v>
      </c>
      <c r="G34" s="4" t="str">
        <f t="shared" si="5"/>
        <v>True</v>
      </c>
      <c r="H34" s="4">
        <f t="shared" si="6"/>
        <v>16.742047350180151</v>
      </c>
      <c r="I34" s="4">
        <f>IF(G34="False",'Constants and exponents'!$C$7*(D34^'Constants and exponents'!$C$8),'Constants and exponents'!$C$11*(D34^'Constants and exponents'!$C$12))</f>
        <v>24.258857254033259</v>
      </c>
      <c r="J34" s="4">
        <f>'Constants and exponents'!$C$15*(D34^'Constants and exponents'!$C$16)</f>
        <v>0.21786000455333263</v>
      </c>
      <c r="K34" s="4">
        <f>(((I34/'Constants and exponents'!$C$34)/'Constants and exponents'!$C$37)^0.5)*0.7071067812</f>
        <v>6.6615045111485562</v>
      </c>
      <c r="L34" s="7">
        <f>(((I34/'Constants and exponents'!$C$34)/'Constants and exponents'!$C$37)/2)</f>
        <v>44.375642350364103</v>
      </c>
      <c r="M34" s="6">
        <f>0.79*((('Constants and exponents'!$C$36*1000000000)/(9.81*'Constants and exponents'!$C$35))^0.33)*(J34^0.6667)</f>
        <v>27.211448500154212</v>
      </c>
      <c r="N34" s="14" t="str">
        <f t="shared" ref="N34:N65" si="7">IF(H34&gt;M34,"True","False")</f>
        <v>False</v>
      </c>
      <c r="O34"/>
      <c r="P34" s="5"/>
      <c r="Q34" s="49">
        <f t="shared" si="1"/>
        <v>8.6702538717334573E-3</v>
      </c>
      <c r="R34" s="5" t="str">
        <f>IF(Q34&gt;('Constants and exponents'!$F$44/100),"True","False")</f>
        <v>False</v>
      </c>
    </row>
    <row r="35" spans="1:18" s="4" customFormat="1" x14ac:dyDescent="0.15">
      <c r="A35" s="7">
        <f t="shared" si="3"/>
        <v>33</v>
      </c>
      <c r="B35" s="7">
        <f>'Constants and exponents'!$C$29*(I34^'Constants and exponents'!$C$30)*L34</f>
        <v>15.850547179154104</v>
      </c>
      <c r="C35" s="7">
        <f t="shared" si="4"/>
        <v>237.87466678680215</v>
      </c>
      <c r="D35" s="7">
        <f>D34+('Constants and exponents'!$C$3*(B35^'Constants and exponents'!$C$4))</f>
        <v>210.44570009693811</v>
      </c>
      <c r="E35" s="4">
        <f>('Constants and exponents'!$C$19*(J35^'Constants and exponents'!$C$20))-'Constants and exponents'!$C$21</f>
        <v>22.299687442049489</v>
      </c>
      <c r="F35" s="4">
        <f>'Constants and exponents'!$C$25+('Constants and exponents'!$C$26*(LN(J35)))</f>
        <v>16.944801544055025</v>
      </c>
      <c r="G35" s="4" t="str">
        <f t="shared" si="5"/>
        <v>True</v>
      </c>
      <c r="H35" s="4">
        <f t="shared" si="6"/>
        <v>16.944801544055025</v>
      </c>
      <c r="I35" s="4">
        <f>IF(G35="False",'Constants and exponents'!$C$7*(D35^'Constants and exponents'!$C$8),'Constants and exponents'!$C$11*(D35^'Constants and exponents'!$C$12))</f>
        <v>25.4163319562251</v>
      </c>
      <c r="J35" s="4">
        <f>'Constants and exponents'!$C$15*(D35^'Constants and exponents'!$C$16)</f>
        <v>0.2229968744204949</v>
      </c>
      <c r="K35" s="4">
        <f>(((I35/'Constants and exponents'!$C$34)/'Constants and exponents'!$C$37)^0.5)*0.7071067812</f>
        <v>6.8185745610801307</v>
      </c>
      <c r="L35" s="7">
        <f>(((I35/'Constants and exponents'!$C$34)/'Constants and exponents'!$C$37)/2)</f>
        <v>46.492959043240056</v>
      </c>
      <c r="M35" s="6">
        <f>0.79*((('Constants and exponents'!$C$36*1000000000)/(9.81*'Constants and exponents'!$C$35))^0.33)*(J35^0.6667)</f>
        <v>27.637547978150966</v>
      </c>
      <c r="N35" s="14" t="str">
        <f t="shared" si="7"/>
        <v>False</v>
      </c>
      <c r="O35"/>
      <c r="P35" s="5"/>
      <c r="Q35" s="49">
        <f t="shared" si="1"/>
        <v>8.4609040585342937E-3</v>
      </c>
      <c r="R35" s="5" t="str">
        <f>IF(Q35&gt;('Constants and exponents'!$F$44/100),"True","False")</f>
        <v>False</v>
      </c>
    </row>
    <row r="36" spans="1:18" s="4" customFormat="1" x14ac:dyDescent="0.15">
      <c r="A36" s="7">
        <f t="shared" si="3"/>
        <v>34</v>
      </c>
      <c r="B36" s="7">
        <f>'Constants and exponents'!$C$29*(I35^'Constants and exponents'!$C$30)*L35</f>
        <v>16.262138423012424</v>
      </c>
      <c r="C36" s="7">
        <f t="shared" si="4"/>
        <v>252.12417047617564</v>
      </c>
      <c r="D36" s="7">
        <f>D35+('Constants and exponents'!$C$3*(B36^'Constants and exponents'!$C$4))</f>
        <v>223.45541083534806</v>
      </c>
      <c r="E36" s="4">
        <f>('Constants and exponents'!$C$19*(J36^'Constants and exponents'!$C$20))-'Constants and exponents'!$C$21</f>
        <v>22.806982690764112</v>
      </c>
      <c r="F36" s="4">
        <f>'Constants and exponents'!$C$25+('Constants and exponents'!$C$26*(LN(J36)))</f>
        <v>17.140500084629181</v>
      </c>
      <c r="G36" s="4" t="str">
        <f t="shared" si="5"/>
        <v>True</v>
      </c>
      <c r="H36" s="4">
        <f t="shared" si="6"/>
        <v>17.140500084629181</v>
      </c>
      <c r="I36" s="4">
        <f>IF(G36="False",'Constants and exponents'!$C$7*(D36^'Constants and exponents'!$C$8),'Constants and exponents'!$C$11*(D36^'Constants and exponents'!$C$12))</f>
        <v>26.585876816681605</v>
      </c>
      <c r="J36" s="4">
        <f>'Constants and exponents'!$C$15*(D36^'Constants and exponents'!$C$16)</f>
        <v>0.22806982690764113</v>
      </c>
      <c r="K36" s="4">
        <f>(((I36/'Constants and exponents'!$C$34)/'Constants and exponents'!$C$37)^0.5)*0.7071067812</f>
        <v>6.9736902095317674</v>
      </c>
      <c r="L36" s="7">
        <f>(((I36/'Constants and exponents'!$C$34)/'Constants and exponents'!$C$37)/2)</f>
        <v>48.632355136668799</v>
      </c>
      <c r="M36" s="6">
        <f>0.79*((('Constants and exponents'!$C$36*1000000000)/(9.81*'Constants and exponents'!$C$35))^0.33)*(J36^0.6667)</f>
        <v>28.055146433765287</v>
      </c>
      <c r="N36" s="14" t="str">
        <f t="shared" si="7"/>
        <v>False</v>
      </c>
      <c r="O36"/>
      <c r="P36" s="5"/>
      <c r="Q36" s="49">
        <f t="shared" si="1"/>
        <v>8.2613373410891991E-3</v>
      </c>
      <c r="R36" s="5" t="str">
        <f>IF(Q36&gt;('Constants and exponents'!$F$44/100),"True","False")</f>
        <v>False</v>
      </c>
    </row>
    <row r="37" spans="1:18" s="1" customFormat="1" x14ac:dyDescent="0.15">
      <c r="A37" s="17">
        <f t="shared" si="3"/>
        <v>35</v>
      </c>
      <c r="B37" s="7">
        <f>'Constants and exponents'!$C$29*(I36^'Constants and exponents'!$C$30)*L36</f>
        <v>16.669540025633911</v>
      </c>
      <c r="C37" s="17">
        <f t="shared" si="4"/>
        <v>266.71082767766359</v>
      </c>
      <c r="D37" s="17">
        <f>D36+('Constants and exponents'!$C$3*(B37^'Constants and exponents'!$C$4))</f>
        <v>236.79104285585518</v>
      </c>
      <c r="E37" s="1">
        <f>('Constants and exponents'!$C$19*(J37^'Constants and exponents'!$C$20))-'Constants and exponents'!$C$21</f>
        <v>23.308172901275153</v>
      </c>
      <c r="F37" s="1">
        <f>'Constants and exponents'!$C$25+('Constants and exponents'!$C$26*(LN(J37)))</f>
        <v>17.329614767952219</v>
      </c>
      <c r="G37" s="1" t="str">
        <f t="shared" si="5"/>
        <v>True</v>
      </c>
      <c r="H37" s="1">
        <f t="shared" si="6"/>
        <v>17.329614767952219</v>
      </c>
      <c r="I37" s="1">
        <f>IF(G37="False",'Constants and exponents'!$C$7*(D37^'Constants and exponents'!$C$8),'Constants and exponents'!$C$11*(D37^'Constants and exponents'!$C$12))</f>
        <v>27.767180559782137</v>
      </c>
      <c r="J37" s="1">
        <f>'Constants and exponents'!$C$15*(D37^'Constants and exponents'!$C$16)</f>
        <v>0.23308172901275154</v>
      </c>
      <c r="K37" s="1">
        <f>(((I37/'Constants and exponents'!$C$34)/'Constants and exponents'!$C$37)^0.5)*0.7071067812</f>
        <v>7.1269391206895509</v>
      </c>
      <c r="L37" s="17">
        <f>(((I37/'Constants and exponents'!$C$34)/'Constants and exponents'!$C$37)/2)</f>
        <v>50.793261228082486</v>
      </c>
      <c r="M37" s="18">
        <f>0.79*((('Constants and exponents'!$C$36*1000000000)/(9.81*'Constants and exponents'!$C$35))^0.33)*(J37^0.6667)</f>
        <v>28.464689662117049</v>
      </c>
      <c r="N37" s="17" t="str">
        <f t="shared" si="7"/>
        <v>False</v>
      </c>
      <c r="P37" s="5"/>
      <c r="Q37" s="49">
        <f t="shared" si="1"/>
        <v>8.0709294060900567E-3</v>
      </c>
      <c r="R37" s="5" t="str">
        <f>IF(Q37&gt;('Constants and exponents'!$F$44/100),"True","False")</f>
        <v>False</v>
      </c>
    </row>
    <row r="38" spans="1:18" s="4" customFormat="1" x14ac:dyDescent="0.15">
      <c r="A38" s="7">
        <f t="shared" si="3"/>
        <v>36</v>
      </c>
      <c r="B38" s="7">
        <f>'Constants and exponents'!$C$29*(I37^'Constants and exponents'!$C$30)*L37</f>
        <v>17.072929779987124</v>
      </c>
      <c r="C38" s="7">
        <f t="shared" si="4"/>
        <v>281.63115319562445</v>
      </c>
      <c r="D38" s="7">
        <f>D37+('Constants and exponents'!$C$3*(B38^'Constants and exponents'!$C$4))</f>
        <v>250.44938667984488</v>
      </c>
      <c r="E38" s="4">
        <f>('Constants and exponents'!$C$19*(J38^'Constants and exponents'!$C$20))-'Constants and exponents'!$C$21</f>
        <v>23.803523305476293</v>
      </c>
      <c r="F38" s="4">
        <f>'Constants and exponents'!$C$25+('Constants and exponents'!$C$26*(LN(J38)))</f>
        <v>17.512571769468686</v>
      </c>
      <c r="G38" s="4" t="str">
        <f t="shared" si="5"/>
        <v>True</v>
      </c>
      <c r="H38" s="4">
        <f t="shared" si="6"/>
        <v>17.512571769468686</v>
      </c>
      <c r="I38" s="4">
        <f>IF(G38="False",'Constants and exponents'!$C$7*(D38^'Constants and exponents'!$C$8),'Constants and exponents'!$C$11*(D38^'Constants and exponents'!$C$12))</f>
        <v>28.959950223000266</v>
      </c>
      <c r="J38" s="4">
        <f>'Constants and exponents'!$C$15*(D38^'Constants and exponents'!$C$16)</f>
        <v>0.23803523305476293</v>
      </c>
      <c r="K38" s="4">
        <f>(((I38/'Constants and exponents'!$C$34)/'Constants and exponents'!$C$37)^0.5)*0.7071067812</f>
        <v>7.2784023944992846</v>
      </c>
      <c r="L38" s="7">
        <f>(((I38/'Constants and exponents'!$C$34)/'Constants and exponents'!$C$37)/2)</f>
        <v>52.975141414237243</v>
      </c>
      <c r="M38" s="6">
        <f>0.79*((('Constants and exponents'!$C$36*1000000000)/(9.81*'Constants and exponents'!$C$35))^0.33)*(J38^0.6667)</f>
        <v>28.86658663663826</v>
      </c>
      <c r="N38" s="14" t="str">
        <f t="shared" si="7"/>
        <v>False</v>
      </c>
      <c r="O38"/>
      <c r="P38" s="5"/>
      <c r="Q38" s="49">
        <f t="shared" si="1"/>
        <v>7.8890998654399351E-3</v>
      </c>
      <c r="R38" s="5" t="str">
        <f>IF(Q38&gt;('Constants and exponents'!$F$44/100),"True","False")</f>
        <v>False</v>
      </c>
    </row>
    <row r="39" spans="1:18" s="4" customFormat="1" x14ac:dyDescent="0.15">
      <c r="A39" s="7">
        <f t="shared" si="3"/>
        <v>37</v>
      </c>
      <c r="B39" s="7">
        <f>'Constants and exponents'!$C$29*(I38^'Constants and exponents'!$C$30)*L38</f>
        <v>17.472472628100977</v>
      </c>
      <c r="C39" s="7">
        <f t="shared" si="4"/>
        <v>296.88180953094616</v>
      </c>
      <c r="D39" s="7">
        <f>D38+('Constants and exponents'!$C$3*(B39^'Constants and exponents'!$C$4))</f>
        <v>264.42736478232564</v>
      </c>
      <c r="E39" s="4">
        <f>('Constants and exponents'!$C$19*(J39^'Constants and exponents'!$C$20))-'Constants and exponents'!$C$21</f>
        <v>24.293279875711054</v>
      </c>
      <c r="F39" s="4">
        <f>'Constants and exponents'!$C$25+('Constants and exponents'!$C$26*(LN(J39)))</f>
        <v>17.68975732674885</v>
      </c>
      <c r="G39" s="4" t="str">
        <f t="shared" si="5"/>
        <v>True</v>
      </c>
      <c r="H39" s="4">
        <f t="shared" si="6"/>
        <v>17.68975732674885</v>
      </c>
      <c r="I39" s="4">
        <f>IF(G39="False",'Constants and exponents'!$C$7*(D39^'Constants and exponents'!$C$8),'Constants and exponents'!$C$11*(D39^'Constants and exponents'!$C$12))</f>
        <v>30.163909519447643</v>
      </c>
      <c r="J39" s="4">
        <f>'Constants and exponents'!$C$15*(D39^'Constants and exponents'!$C$16)</f>
        <v>0.24293279875711055</v>
      </c>
      <c r="K39" s="4">
        <f>(((I39/'Constants and exponents'!$C$34)/'Constants and exponents'!$C$37)^0.5)*0.7071067812</f>
        <v>7.428155241914876</v>
      </c>
      <c r="L39" s="7">
        <f>(((I39/'Constants and exponents'!$C$34)/'Constants and exponents'!$C$37)/2)</f>
        <v>55.177490295887978</v>
      </c>
      <c r="M39" s="6">
        <f>0.79*((('Constants and exponents'!$C$36*1000000000)/(9.81*'Constants and exponents'!$C$35))^0.33)*(J39^0.6667)</f>
        <v>29.261213586972151</v>
      </c>
      <c r="N39" s="14" t="str">
        <f t="shared" si="7"/>
        <v>False</v>
      </c>
      <c r="P39" s="5"/>
      <c r="Q39" s="49">
        <f t="shared" si="1"/>
        <v>7.7153101188373796E-3</v>
      </c>
      <c r="R39" s="5" t="str">
        <f>IF(Q39&gt;('Constants and exponents'!$F$44/100),"True","False")</f>
        <v>False</v>
      </c>
    </row>
    <row r="40" spans="1:18" s="4" customFormat="1" x14ac:dyDescent="0.15">
      <c r="A40" s="7">
        <f t="shared" si="3"/>
        <v>38</v>
      </c>
      <c r="B40" s="7">
        <f>'Constants and exponents'!$C$29*(I39^'Constants and exponents'!$C$30)*L39</f>
        <v>17.868321947057698</v>
      </c>
      <c r="C40" s="7">
        <f t="shared" si="4"/>
        <v>312.45959624883102</v>
      </c>
      <c r="D40" s="7">
        <f>D39+('Constants and exponents'!$C$3*(B40^'Constants and exponents'!$C$4))</f>
        <v>278.72202233997177</v>
      </c>
      <c r="E40" s="4">
        <f>('Constants and exponents'!$C$19*(J40^'Constants and exponents'!$C$20))-'Constants and exponents'!$C$21</f>
        <v>24.77767124813067</v>
      </c>
      <c r="F40" s="4">
        <f>'Constants and exponents'!$C$25+('Constants and exponents'!$C$26*(LN(J40)))</f>
        <v>17.861522565896777</v>
      </c>
      <c r="G40" s="4" t="str">
        <f t="shared" si="5"/>
        <v>True</v>
      </c>
      <c r="H40" s="4">
        <f t="shared" si="6"/>
        <v>17.861522565896777</v>
      </c>
      <c r="I40" s="4">
        <f>IF(G40="False",'Constants and exponents'!$C$7*(D40^'Constants and exponents'!$C$8),'Constants and exponents'!$C$11*(D40^'Constants and exponents'!$C$12))</f>
        <v>31.378797393444774</v>
      </c>
      <c r="J40" s="4">
        <f>'Constants and exponents'!$C$15*(D40^'Constants and exponents'!$C$16)</f>
        <v>0.2477767124813067</v>
      </c>
      <c r="K40" s="4">
        <f>(((I40/'Constants and exponents'!$C$34)/'Constants and exponents'!$C$37)^0.5)*0.7071067812</f>
        <v>7.576267573003383</v>
      </c>
      <c r="L40" s="7">
        <f>(((I40/'Constants and exponents'!$C$34)/'Constants and exponents'!$C$37)/2)</f>
        <v>57.399830335558548</v>
      </c>
      <c r="M40" s="6">
        <f>0.79*((('Constants and exponents'!$C$36*1000000000)/(9.81*'Constants and exponents'!$C$35))^0.33)*(J40^0.6667)</f>
        <v>29.648917517728879</v>
      </c>
      <c r="N40" s="14" t="str">
        <f t="shared" si="7"/>
        <v>False</v>
      </c>
      <c r="P40" s="5"/>
      <c r="Q40" s="49">
        <f t="shared" si="1"/>
        <v>7.549060882534233E-3</v>
      </c>
      <c r="R40" s="5" t="str">
        <f>IF(Q40&gt;('Constants and exponents'!$F$44/100),"True","False")</f>
        <v>False</v>
      </c>
    </row>
    <row r="41" spans="1:18" s="4" customFormat="1" x14ac:dyDescent="0.15">
      <c r="A41" s="7">
        <f t="shared" si="3"/>
        <v>39</v>
      </c>
      <c r="B41" s="7">
        <f>'Constants and exponents'!$C$29*(I40^'Constants and exponents'!$C$30)*L40</f>
        <v>18.260620672899787</v>
      </c>
      <c r="C41" s="7">
        <f t="shared" si="4"/>
        <v>328.36144040631632</v>
      </c>
      <c r="D41" s="7">
        <f>D40+('Constants and exponents'!$C$3*(B41^'Constants and exponents'!$C$4))</f>
        <v>293.33051887829163</v>
      </c>
      <c r="E41" s="4">
        <f>('Constants and exponents'!$C$19*(J41^'Constants and exponents'!$C$20))-'Constants and exponents'!$C$21</f>
        <v>25.256910404837296</v>
      </c>
      <c r="F41" s="4">
        <f>'Constants and exponents'!$C$25+('Constants and exponents'!$C$26*(LN(J41)))</f>
        <v>18.028187621697775</v>
      </c>
      <c r="G41" s="4" t="str">
        <f t="shared" si="5"/>
        <v>True</v>
      </c>
      <c r="H41" s="4">
        <f t="shared" si="6"/>
        <v>18.028187621697775</v>
      </c>
      <c r="I41" s="4">
        <f>IF(G41="False",'Constants and exponents'!$C$7*(D41^'Constants and exponents'!$C$8),'Constants and exponents'!$C$11*(D41^'Constants and exponents'!$C$12))</f>
        <v>32.604366741230031</v>
      </c>
      <c r="J41" s="4">
        <f>'Constants and exponents'!$C$15*(D41^'Constants and exponents'!$C$16)</f>
        <v>0.25256910404837296</v>
      </c>
      <c r="K41" s="4">
        <f>(((I41/'Constants and exponents'!$C$34)/'Constants and exponents'!$C$37)^0.5)*0.7071067812</f>
        <v>7.722804511293897</v>
      </c>
      <c r="L41" s="7">
        <f>(((I41/'Constants and exponents'!$C$34)/'Constants and exponents'!$C$37)/2)</f>
        <v>59.64170951739203</v>
      </c>
      <c r="M41" s="6">
        <f>0.79*((('Constants and exponents'!$C$36*1000000000)/(9.81*'Constants and exponents'!$C$35))^0.33)*(J41^0.6667)</f>
        <v>30.030019258614221</v>
      </c>
      <c r="N41" s="14" t="str">
        <f t="shared" si="7"/>
        <v>False</v>
      </c>
      <c r="P41" s="5"/>
      <c r="Q41" s="49">
        <f t="shared" si="1"/>
        <v>7.3898895795804628E-3</v>
      </c>
      <c r="R41" s="5" t="str">
        <f>IF(Q41&gt;('Constants and exponents'!$F$44/100),"True","False")</f>
        <v>False</v>
      </c>
    </row>
    <row r="42" spans="1:18" s="1" customFormat="1" x14ac:dyDescent="0.15">
      <c r="A42" s="17">
        <f t="shared" si="3"/>
        <v>40</v>
      </c>
      <c r="B42" s="7">
        <f>'Constants and exponents'!$C$29*(I41^'Constants and exponents'!$C$30)*L41</f>
        <v>18.649502286824482</v>
      </c>
      <c r="C42" s="17">
        <f t="shared" si="4"/>
        <v>344.58438790634614</v>
      </c>
      <c r="D42" s="17">
        <f>D41+('Constants and exponents'!$C$3*(B42^'Constants and exponents'!$C$4))</f>
        <v>308.25012070775119</v>
      </c>
      <c r="E42" s="1">
        <f>('Constants and exponents'!$C$19*(J42^'Constants and exponents'!$C$20))-'Constants and exponents'!$C$21</f>
        <v>25.731196150856466</v>
      </c>
      <c r="F42" s="1">
        <f>'Constants and exponents'!$C$25+('Constants and exponents'!$C$26*(LN(J42)))</f>
        <v>18.190045171799731</v>
      </c>
      <c r="G42" s="1" t="str">
        <f t="shared" si="5"/>
        <v>True</v>
      </c>
      <c r="H42" s="1">
        <f t="shared" si="6"/>
        <v>18.190045171799731</v>
      </c>
      <c r="I42" s="1">
        <f>IF(G42="False",'Constants and exponents'!$C$7*(D42^'Constants and exponents'!$C$8),'Constants and exponents'!$C$11*(D42^'Constants and exponents'!$C$12))</f>
        <v>33.840383273641265</v>
      </c>
      <c r="J42" s="1">
        <f>'Constants and exponents'!$C$15*(D42^'Constants and exponents'!$C$16)</f>
        <v>0.25731196150856467</v>
      </c>
      <c r="K42" s="1">
        <f>(((I42/'Constants and exponents'!$C$34)/'Constants and exponents'!$C$37)^0.5)*0.7071067812</f>
        <v>7.8678268453913285</v>
      </c>
      <c r="L42" s="17">
        <f>(((I42/'Constants and exponents'!$C$34)/'Constants and exponents'!$C$37)/2)</f>
        <v>61.902699266705106</v>
      </c>
      <c r="M42" s="18">
        <f>0.79*((('Constants and exponents'!$C$36*1000000000)/(9.81*'Constants and exponents'!$C$35))^0.33)*(J42^0.6667)</f>
        <v>30.404816119683371</v>
      </c>
      <c r="N42" s="17" t="str">
        <f t="shared" si="7"/>
        <v>False</v>
      </c>
      <c r="P42" s="5"/>
      <c r="Q42" s="49">
        <f t="shared" si="1"/>
        <v>7.2373677174008078E-3</v>
      </c>
      <c r="R42" s="5" t="str">
        <f>IF(Q42&gt;('Constants and exponents'!$F$44/100),"True","False")</f>
        <v>False</v>
      </c>
    </row>
    <row r="43" spans="1:18" s="4" customFormat="1" x14ac:dyDescent="0.15">
      <c r="A43" s="7">
        <f t="shared" si="3"/>
        <v>41</v>
      </c>
      <c r="B43" s="7">
        <f>'Constants and exponents'!$C$29*(I42^'Constants and exponents'!$C$30)*L42</f>
        <v>19.035091683816525</v>
      </c>
      <c r="C43" s="7">
        <f t="shared" si="4"/>
        <v>361.12559566520895</v>
      </c>
      <c r="D43" s="7">
        <f>D42+('Constants and exponents'!$C$3*(B43^'Constants and exponents'!$C$4))</f>
        <v>323.47819405480442</v>
      </c>
      <c r="E43" s="4">
        <f>('Constants and exponents'!$C$19*(J43^'Constants and exponents'!$C$20))-'Constants and exponents'!$C$21</f>
        <v>26.20071441578169</v>
      </c>
      <c r="F43" s="4">
        <f>'Constants and exponents'!$C$25+('Constants and exponents'!$C$26*(LN(J43)))</f>
        <v>18.347363482010614</v>
      </c>
      <c r="G43" s="4" t="str">
        <f t="shared" si="5"/>
        <v>True</v>
      </c>
      <c r="H43" s="4">
        <f t="shared" si="6"/>
        <v>18.347363482010614</v>
      </c>
      <c r="I43" s="4">
        <f>IF(G43="False",'Constants and exponents'!$C$7*(D43^'Constants and exponents'!$C$8),'Constants and exponents'!$C$11*(D43^'Constants and exponents'!$C$12))</f>
        <v>35.086624501420154</v>
      </c>
      <c r="J43" s="4">
        <f>'Constants and exponents'!$C$15*(D43^'Constants and exponents'!$C$16)</f>
        <v>0.2620071441578169</v>
      </c>
      <c r="K43" s="4">
        <f>(((I43/'Constants and exponents'!$C$34)/'Constants and exponents'!$C$37)^0.5)*0.7071067812</f>
        <v>8.0113914269802535</v>
      </c>
      <c r="L43" s="7">
        <f>(((I43/'Constants and exponents'!$C$34)/'Constants and exponents'!$C$37)/2)</f>
        <v>64.182392593850594</v>
      </c>
      <c r="M43" s="6">
        <f>0.79*((('Constants and exponents'!$C$36*1000000000)/(9.81*'Constants and exponents'!$C$35))^0.33)*(J43^0.6667)</f>
        <v>30.773584212181909</v>
      </c>
      <c r="N43" s="14" t="str">
        <f t="shared" si="7"/>
        <v>False</v>
      </c>
      <c r="P43" s="5"/>
      <c r="Q43" s="49">
        <f t="shared" si="1"/>
        <v>7.0910983317793363E-3</v>
      </c>
      <c r="R43" s="5" t="str">
        <f>IF(Q43&gt;('Constants and exponents'!$F$44/100),"True","False")</f>
        <v>False</v>
      </c>
    </row>
    <row r="44" spans="1:18" s="4" customFormat="1" x14ac:dyDescent="0.15">
      <c r="A44" s="7">
        <f t="shared" si="3"/>
        <v>42</v>
      </c>
      <c r="B44" s="7">
        <f>'Constants and exponents'!$C$29*(I43^'Constants and exponents'!$C$30)*L43</f>
        <v>19.417505940470779</v>
      </c>
      <c r="C44" s="7">
        <f t="shared" si="4"/>
        <v>377.98232449669536</v>
      </c>
      <c r="D44" s="7">
        <f>D43+('Constants and exponents'!$C$3*(B44^'Constants and exponents'!$C$4))</f>
        <v>339.01219880718105</v>
      </c>
      <c r="E44" s="4">
        <f>('Constants and exponents'!$C$19*(J44^'Constants and exponents'!$C$20))-'Constants and exponents'!$C$21</f>
        <v>26.665639404932108</v>
      </c>
      <c r="F44" s="4">
        <f>'Constants and exponents'!$C$25+('Constants and exponents'!$C$26*(LN(J44)))</f>
        <v>18.50038904155749</v>
      </c>
      <c r="G44" s="4" t="str">
        <f t="shared" si="5"/>
        <v>True</v>
      </c>
      <c r="H44" s="4">
        <f t="shared" si="6"/>
        <v>18.50038904155749</v>
      </c>
      <c r="I44" s="4">
        <f>IF(G44="False",'Constants and exponents'!$C$7*(D44^'Constants and exponents'!$C$8),'Constants and exponents'!$C$11*(D44^'Constants and exponents'!$C$12))</f>
        <v>36.34287882688659</v>
      </c>
      <c r="J44" s="4">
        <f>'Constants and exponents'!$C$15*(D44^'Constants and exponents'!$C$16)</f>
        <v>0.26665639404932107</v>
      </c>
      <c r="K44" s="4">
        <f>(((I44/'Constants and exponents'!$C$34)/'Constants and exponents'!$C$37)^0.5)*0.7071067812</f>
        <v>8.1535515228143183</v>
      </c>
      <c r="L44" s="7">
        <f>(((I44/'Constants and exponents'!$C$34)/'Constants and exponents'!$C$37)/2)</f>
        <v>66.480402432658153</v>
      </c>
      <c r="M44" s="6">
        <f>0.79*((('Constants and exponents'!$C$36*1000000000)/(9.81*'Constants and exponents'!$C$35))^0.33)*(J44^0.6667)</f>
        <v>31.136580484827164</v>
      </c>
      <c r="N44" s="14" t="str">
        <f t="shared" si="7"/>
        <v>False</v>
      </c>
      <c r="P44" s="5"/>
      <c r="Q44" s="49">
        <f t="shared" si="1"/>
        <v>6.9507135449416611E-3</v>
      </c>
      <c r="R44" s="5" t="str">
        <f>IF(Q44&gt;('Constants and exponents'!$F$44/100),"True","False")</f>
        <v>False</v>
      </c>
    </row>
    <row r="45" spans="1:18" s="4" customFormat="1" x14ac:dyDescent="0.15">
      <c r="A45" s="7">
        <f t="shared" si="3"/>
        <v>43</v>
      </c>
      <c r="B45" s="7">
        <f>'Constants and exponents'!$C$29*(I44^'Constants and exponents'!$C$30)*L44</f>
        <v>19.796854996001738</v>
      </c>
      <c r="C45" s="7">
        <f t="shared" si="4"/>
        <v>395.15193263006938</v>
      </c>
      <c r="D45" s="7">
        <f>D44+('Constants and exponents'!$C$3*(B45^'Constants and exponents'!$C$4))</f>
        <v>354.84968280398243</v>
      </c>
      <c r="E45" s="4">
        <f>('Constants and exponents'!$C$19*(J45^'Constants and exponents'!$C$20))-'Constants and exponents'!$C$21</f>
        <v>27.126134620804848</v>
      </c>
      <c r="F45" s="4">
        <f>'Constants and exponents'!$C$25+('Constants and exponents'!$C$26*(LN(J45)))</f>
        <v>18.649348852724394</v>
      </c>
      <c r="G45" s="4" t="str">
        <f t="shared" si="5"/>
        <v>True</v>
      </c>
      <c r="H45" s="4">
        <f t="shared" si="6"/>
        <v>18.649348852724394</v>
      </c>
      <c r="I45" s="4">
        <f>IF(G45="False",'Constants and exponents'!$C$7*(D45^'Constants and exponents'!$C$8),'Constants and exponents'!$C$11*(D45^'Constants and exponents'!$C$12))</f>
        <v>37.60894472826363</v>
      </c>
      <c r="J45" s="4">
        <f>'Constants and exponents'!$C$15*(D45^'Constants and exponents'!$C$16)</f>
        <v>0.27126134620804848</v>
      </c>
      <c r="K45" s="4">
        <f>(((I45/'Constants and exponents'!$C$34)/'Constants and exponents'!$C$37)^0.5)*0.7071067812</f>
        <v>8.2943571270457106</v>
      </c>
      <c r="L45" s="7">
        <f>(((I45/'Constants and exponents'!$C$34)/'Constants and exponents'!$C$37)/2)</f>
        <v>68.796360148356328</v>
      </c>
      <c r="M45" s="6">
        <f>0.79*((('Constants and exponents'!$C$36*1000000000)/(9.81*'Constants and exponents'!$C$35))^0.33)*(J45^0.6667)</f>
        <v>31.494044516860011</v>
      </c>
      <c r="N45" s="14" t="str">
        <f t="shared" si="7"/>
        <v>False</v>
      </c>
      <c r="P45" s="5"/>
      <c r="Q45" s="49">
        <f t="shared" si="1"/>
        <v>6.8158722643645187E-3</v>
      </c>
      <c r="R45" s="5" t="str">
        <f>IF(Q45&gt;('Constants and exponents'!$F$44/100),"True","False")</f>
        <v>False</v>
      </c>
    </row>
    <row r="46" spans="1:18" s="4" customFormat="1" x14ac:dyDescent="0.15">
      <c r="A46" s="7">
        <f t="shared" si="3"/>
        <v>44</v>
      </c>
      <c r="B46" s="7">
        <f>'Constants and exponents'!$C$29*(I45^'Constants and exponents'!$C$30)*L45</f>
        <v>20.173242258192168</v>
      </c>
      <c r="C46" s="7">
        <f t="shared" si="4"/>
        <v>412.6318697904382</v>
      </c>
      <c r="D46" s="7">
        <f>D45+('Constants and exponents'!$C$3*(B46^'Constants and exponents'!$C$4))</f>
        <v>370.98827661053616</v>
      </c>
      <c r="E46" s="4">
        <f>('Constants and exponents'!$C$19*(J46^'Constants and exponents'!$C$20))-'Constants and exponents'!$C$21</f>
        <v>27.582353772292144</v>
      </c>
      <c r="F46" s="4">
        <f>'Constants and exponents'!$C$25+('Constants and exponents'!$C$26*(LN(J46)))</f>
        <v>18.794452427795456</v>
      </c>
      <c r="G46" s="4" t="str">
        <f t="shared" si="5"/>
        <v>True</v>
      </c>
      <c r="H46" s="4">
        <f t="shared" si="6"/>
        <v>18.794452427795456</v>
      </c>
      <c r="I46" s="4">
        <f>IF(G46="False",'Constants and exponents'!$C$7*(D46^'Constants and exponents'!$C$8),'Constants and exponents'!$C$11*(D46^'Constants and exponents'!$C$12))</f>
        <v>38.884630025016023</v>
      </c>
      <c r="J46" s="4">
        <f>'Constants and exponents'!$C$15*(D46^'Constants and exponents'!$C$16)</f>
        <v>0.27582353772292145</v>
      </c>
      <c r="K46" s="4">
        <f>(((I46/'Constants and exponents'!$C$34)/'Constants and exponents'!$C$37)^0.5)*0.7071067812</f>
        <v>8.4338552392364221</v>
      </c>
      <c r="L46" s="7">
        <f>(((I46/'Constants and exponents'!$C$34)/'Constants and exponents'!$C$37)/2)</f>
        <v>71.129914193689217</v>
      </c>
      <c r="M46" s="6">
        <f>0.79*((('Constants and exponents'!$C$36*1000000000)/(9.81*'Constants and exponents'!$C$35))^0.33)*(J46^0.6667)</f>
        <v>31.84620010230844</v>
      </c>
      <c r="N46" s="14" t="str">
        <f t="shared" si="7"/>
        <v>False</v>
      </c>
      <c r="P46" s="5"/>
      <c r="Q46" s="49">
        <f t="shared" si="1"/>
        <v>6.686258035006401E-3</v>
      </c>
      <c r="R46" s="5" t="str">
        <f>IF(Q46&gt;('Constants and exponents'!$F$44/100),"True","False")</f>
        <v>False</v>
      </c>
    </row>
    <row r="47" spans="1:18" s="1" customFormat="1" x14ac:dyDescent="0.15">
      <c r="A47" s="17">
        <f t="shared" si="3"/>
        <v>45</v>
      </c>
      <c r="B47" s="7">
        <f>'Constants and exponents'!$C$29*(I46^'Constants and exponents'!$C$30)*L46</f>
        <v>20.54676514419452</v>
      </c>
      <c r="C47" s="17">
        <f t="shared" si="4"/>
        <v>430.41967177974669</v>
      </c>
      <c r="D47" s="17">
        <f>D46+('Constants and exponents'!$C$3*(B47^'Constants and exponents'!$C$4))</f>
        <v>387.4256887258918</v>
      </c>
      <c r="E47" s="1">
        <f>('Constants and exponents'!$C$19*(J47^'Constants and exponents'!$C$20))-'Constants and exponents'!$C$21</f>
        <v>28.034441586415021</v>
      </c>
      <c r="F47" s="1">
        <f>'Constants and exponents'!$C$25+('Constants and exponents'!$C$26*(LN(J47)))</f>
        <v>18.935893537020668</v>
      </c>
      <c r="G47" s="1" t="str">
        <f t="shared" si="5"/>
        <v>True</v>
      </c>
      <c r="H47" s="1">
        <f t="shared" si="6"/>
        <v>18.935893537020668</v>
      </c>
      <c r="I47" s="1">
        <f>IF(G47="False",'Constants and exponents'!$C$7*(D47^'Constants and exponents'!$C$8),'Constants and exponents'!$C$11*(D47^'Constants and exponents'!$C$12))</f>
        <v>40.169751214285945</v>
      </c>
      <c r="J47" s="1">
        <f>'Constants and exponents'!$C$15*(D47^'Constants and exponents'!$C$16)</f>
        <v>0.28034441586415021</v>
      </c>
      <c r="K47" s="1">
        <f>(((I47/'Constants and exponents'!$C$34)/'Constants and exponents'!$C$37)^0.5)*0.7071067812</f>
        <v>8.5720901125620426</v>
      </c>
      <c r="L47" s="17">
        <f>(((I47/'Constants and exponents'!$C$34)/'Constants and exponents'!$C$37)/2)</f>
        <v>73.480728895088021</v>
      </c>
      <c r="M47" s="18">
        <f>0.79*((('Constants and exponents'!$C$36*1000000000)/(9.81*'Constants and exponents'!$C$35))^0.33)*(J47^0.6667)</f>
        <v>32.193256654303063</v>
      </c>
      <c r="N47" s="17" t="str">
        <f t="shared" si="7"/>
        <v>False</v>
      </c>
      <c r="P47" s="5"/>
      <c r="Q47" s="49">
        <f t="shared" si="1"/>
        <v>6.5615770484908206E-3</v>
      </c>
      <c r="R47" s="5" t="str">
        <f>IF(Q47&gt;('Constants and exponents'!$F$44/100),"True","False")</f>
        <v>False</v>
      </c>
    </row>
    <row r="48" spans="1:18" s="4" customFormat="1" x14ac:dyDescent="0.15">
      <c r="A48" s="7">
        <f t="shared" si="3"/>
        <v>46</v>
      </c>
      <c r="B48" s="7">
        <f>'Constants and exponents'!$C$29*(I47^'Constants and exponents'!$C$30)*L47</f>
        <v>20.917515564584058</v>
      </c>
      <c r="C48" s="7">
        <f t="shared" si="4"/>
        <v>448.51295550476181</v>
      </c>
      <c r="D48" s="7">
        <f>D47+('Constants and exponents'!$C$3*(B48^'Constants and exponents'!$C$4))</f>
        <v>404.15970117755904</v>
      </c>
      <c r="E48" s="4">
        <f>('Constants and exponents'!$C$19*(J48^'Constants and exponents'!$C$20))-'Constants and exponents'!$C$21</f>
        <v>28.482534535085293</v>
      </c>
      <c r="F48" s="4">
        <f>'Constants and exponents'!$C$25+('Constants and exponents'!$C$26*(LN(J48)))</f>
        <v>19.073851743897883</v>
      </c>
      <c r="G48" s="4" t="str">
        <f t="shared" si="5"/>
        <v>True</v>
      </c>
      <c r="H48" s="4">
        <f t="shared" si="6"/>
        <v>19.073851743897883</v>
      </c>
      <c r="I48" s="4">
        <f>IF(G48="False",'Constants and exponents'!$C$7*(D48^'Constants and exponents'!$C$8),'Constants and exponents'!$C$11*(D48^'Constants and exponents'!$C$12))</f>
        <v>41.464132869941125</v>
      </c>
      <c r="J48" s="4">
        <f>'Constants and exponents'!$C$15*(D48^'Constants and exponents'!$C$16)</f>
        <v>0.28482534535085291</v>
      </c>
      <c r="K48" s="4">
        <f>(((I48/'Constants and exponents'!$C$34)/'Constants and exponents'!$C$37)^0.5)*0.7071067812</f>
        <v>8.7091034760337251</v>
      </c>
      <c r="L48" s="7">
        <f>(((I48/'Constants and exponents'!$C$34)/'Constants and exponents'!$C$37)/2)</f>
        <v>75.848483353376722</v>
      </c>
      <c r="M48" s="6">
        <f>0.79*((('Constants and exponents'!$C$36*1000000000)/(9.81*'Constants and exponents'!$C$35))^0.33)*(J48^0.6667)</f>
        <v>32.535410453707442</v>
      </c>
      <c r="N48" s="14" t="str">
        <f t="shared" si="7"/>
        <v>False</v>
      </c>
      <c r="P48" s="5"/>
      <c r="Q48" s="49">
        <f t="shared" si="1"/>
        <v>6.4415563069079827E-3</v>
      </c>
      <c r="R48" s="5" t="str">
        <f>IF(Q48&gt;('Constants and exponents'!$F$44/100),"True","False")</f>
        <v>False</v>
      </c>
    </row>
    <row r="49" spans="1:18" s="4" customFormat="1" x14ac:dyDescent="0.15">
      <c r="A49" s="7">
        <f t="shared" si="3"/>
        <v>47</v>
      </c>
      <c r="B49" s="7">
        <f>'Constants and exponents'!$C$29*(I48^'Constants and exponents'!$C$30)*L48</f>
        <v>21.285580357809582</v>
      </c>
      <c r="C49" s="7">
        <f t="shared" si="4"/>
        <v>466.90941440530975</v>
      </c>
      <c r="D49" s="7">
        <f>D48+('Constants and exponents'!$C$3*(B49^'Constants and exponents'!$C$4))</f>
        <v>421.18816546380668</v>
      </c>
      <c r="E49" s="4">
        <f>('Constants and exponents'!$C$19*(J49^'Constants and exponents'!$C$20))-'Constants and exponents'!$C$21</f>
        <v>28.926761487549708</v>
      </c>
      <c r="F49" s="4">
        <f>'Constants and exponents'!$C$25+('Constants and exponents'!$C$26*(LN(J49)))</f>
        <v>19.208493758045449</v>
      </c>
      <c r="G49" s="4" t="str">
        <f t="shared" si="5"/>
        <v>True</v>
      </c>
      <c r="H49" s="4">
        <f t="shared" si="6"/>
        <v>19.208493758045449</v>
      </c>
      <c r="I49" s="4">
        <f>IF(G49="False",'Constants and exponents'!$C$7*(D49^'Constants and exponents'!$C$8),'Constants and exponents'!$C$11*(D49^'Constants and exponents'!$C$12))</f>
        <v>42.767607096943443</v>
      </c>
      <c r="J49" s="4">
        <f>'Constants and exponents'!$C$15*(D49^'Constants and exponents'!$C$16)</f>
        <v>0.28926761487549707</v>
      </c>
      <c r="K49" s="4">
        <f>(((I49/'Constants and exponents'!$C$34)/'Constants and exponents'!$C$37)^0.5)*0.7071067812</f>
        <v>8.8449347339960411</v>
      </c>
      <c r="L49" s="7">
        <f>(((I49/'Constants and exponents'!$C$34)/'Constants and exponents'!$C$37)/2)</f>
        <v>78.232870445672887</v>
      </c>
      <c r="M49" s="6">
        <f>0.79*((('Constants and exponents'!$C$36*1000000000)/(9.81*'Constants and exponents'!$C$35))^0.33)*(J49^0.6667)</f>
        <v>32.872845762563578</v>
      </c>
      <c r="N49" s="14" t="str">
        <f t="shared" si="7"/>
        <v>False</v>
      </c>
      <c r="P49" s="5"/>
      <c r="Q49" s="49">
        <f t="shared" si="1"/>
        <v>6.3259419352715406E-3</v>
      </c>
      <c r="R49" s="5" t="str">
        <f>IF(Q49&gt;('Constants and exponents'!$F$44/100),"True","False")</f>
        <v>False</v>
      </c>
    </row>
    <row r="50" spans="1:18" s="4" customFormat="1" x14ac:dyDescent="0.15">
      <c r="A50" s="7">
        <f t="shared" si="3"/>
        <v>48</v>
      </c>
      <c r="B50" s="7">
        <f>'Constants and exponents'!$C$29*(I49^'Constants and exponents'!$C$30)*L49</f>
        <v>21.651041681144882</v>
      </c>
      <c r="C50" s="7">
        <f t="shared" si="4"/>
        <v>485.60681424189499</v>
      </c>
      <c r="D50" s="7">
        <f>D49+('Constants and exponents'!$C$3*(B50^'Constants and exponents'!$C$4))</f>
        <v>438.50899880872259</v>
      </c>
      <c r="E50" s="4">
        <f>('Constants and exponents'!$C$19*(J50^'Constants and exponents'!$C$20))-'Constants and exponents'!$C$21</f>
        <v>29.367244297625163</v>
      </c>
      <c r="F50" s="4">
        <f>'Constants and exponents'!$C$25+('Constants and exponents'!$C$26*(LN(J50)))</f>
        <v>19.339974631034806</v>
      </c>
      <c r="G50" s="4" t="str">
        <f t="shared" si="5"/>
        <v>True</v>
      </c>
      <c r="H50" s="4">
        <f t="shared" si="6"/>
        <v>19.339974631034806</v>
      </c>
      <c r="I50" s="4">
        <f>IF(G50="False",'Constants and exponents'!$C$7*(D50^'Constants and exponents'!$C$8),'Constants and exponents'!$C$11*(D50^'Constants and exponents'!$C$12))</f>
        <v>44.080013034749221</v>
      </c>
      <c r="J50" s="4">
        <f>'Constants and exponents'!$C$15*(D50^'Constants and exponents'!$C$16)</f>
        <v>0.29367244297625161</v>
      </c>
      <c r="K50" s="4">
        <f>(((I50/'Constants and exponents'!$C$34)/'Constants and exponents'!$C$37)^0.5)*0.7071067812</f>
        <v>8.979621145685833</v>
      </c>
      <c r="L50" s="7">
        <f>(((I50/'Constants and exponents'!$C$34)/'Constants and exponents'!$C$37)/2)</f>
        <v>80.633595916980099</v>
      </c>
      <c r="M50" s="6">
        <f>0.79*((('Constants and exponents'!$C$36*1000000000)/(9.81*'Constants and exponents'!$C$35))^0.33)*(J50^0.6667)</f>
        <v>33.20573581974778</v>
      </c>
      <c r="N50" s="14" t="str">
        <f t="shared" si="7"/>
        <v>False</v>
      </c>
      <c r="P50" s="5"/>
      <c r="Q50" s="49">
        <f t="shared" si="1"/>
        <v>6.2144976345408142E-3</v>
      </c>
      <c r="R50" s="5" t="str">
        <f>IF(Q50&gt;('Constants and exponents'!$F$44/100),"True","False")</f>
        <v>False</v>
      </c>
    </row>
    <row r="51" spans="1:18" s="4" customFormat="1" x14ac:dyDescent="0.15">
      <c r="A51" s="7">
        <f t="shared" si="3"/>
        <v>49</v>
      </c>
      <c r="B51" s="7">
        <f>'Constants and exponents'!$C$29*(I50^'Constants and exponents'!$C$30)*L50</f>
        <v>22.013977363374391</v>
      </c>
      <c r="C51" s="7">
        <f t="shared" si="4"/>
        <v>504.60298920684625</v>
      </c>
      <c r="D51" s="7">
        <f>D50+('Constants and exponents'!$C$3*(B51^'Constants and exponents'!$C$4))</f>
        <v>456.12018069942212</v>
      </c>
      <c r="E51" s="4">
        <f>('Constants and exponents'!$C$19*(J51^'Constants and exponents'!$C$20))-'Constants and exponents'!$C$21</f>
        <v>29.804098333540658</v>
      </c>
      <c r="F51" s="4">
        <f>'Constants and exponents'!$C$25+('Constants and exponents'!$C$26*(LN(J51)))</f>
        <v>19.468438816533435</v>
      </c>
      <c r="G51" s="4" t="str">
        <f t="shared" si="5"/>
        <v>True</v>
      </c>
      <c r="H51" s="4">
        <f t="shared" si="6"/>
        <v>19.468438816533435</v>
      </c>
      <c r="I51" s="4">
        <f>IF(G51="False",'Constants and exponents'!$C$7*(D51^'Constants and exponents'!$C$8),'Constants and exponents'!$C$11*(D51^'Constants and exponents'!$C$12))</f>
        <v>45.401196404296229</v>
      </c>
      <c r="J51" s="4">
        <f>'Constants and exponents'!$C$15*(D51^'Constants and exponents'!$C$16)</f>
        <v>0.29804098333540657</v>
      </c>
      <c r="K51" s="4">
        <f>(((I51/'Constants and exponents'!$C$34)/'Constants and exponents'!$C$37)^0.5)*0.7071067812</f>
        <v>9.1131979872419944</v>
      </c>
      <c r="L51" s="7">
        <f>(((I51/'Constants and exponents'!$C$34)/'Constants and exponents'!$C$37)/2)</f>
        <v>83.050377551511517</v>
      </c>
      <c r="M51" s="6">
        <f>0.79*((('Constants and exponents'!$C$36*1000000000)/(9.81*'Constants and exponents'!$C$35))^0.33)*(J51^0.6667)</f>
        <v>33.534243733654961</v>
      </c>
      <c r="N51" s="14" t="str">
        <f t="shared" si="7"/>
        <v>False</v>
      </c>
      <c r="P51" s="5"/>
      <c r="Q51" s="49">
        <f t="shared" si="1"/>
        <v>6.1070032660164933E-3</v>
      </c>
      <c r="R51" s="5" t="str">
        <f>IF(Q51&gt;('Constants and exponents'!$F$44/100),"True","False")</f>
        <v>False</v>
      </c>
    </row>
    <row r="52" spans="1:18" s="1" customFormat="1" x14ac:dyDescent="0.15">
      <c r="A52" s="17">
        <f t="shared" si="3"/>
        <v>50</v>
      </c>
      <c r="B52" s="7">
        <f>'Constants and exponents'!$C$29*(I51^'Constants and exponents'!$C$30)*L51</f>
        <v>22.374461223715716</v>
      </c>
      <c r="C52" s="17">
        <f t="shared" si="4"/>
        <v>523.89583832743403</v>
      </c>
      <c r="D52" s="17">
        <f>D51+('Constants and exponents'!$C$3*(B52^'Constants and exponents'!$C$4))</f>
        <v>474.0197496783947</v>
      </c>
      <c r="E52" s="1">
        <f>('Constants and exponents'!$C$19*(J52^'Constants and exponents'!$C$20))-'Constants and exponents'!$C$21</f>
        <v>30.237432957116852</v>
      </c>
      <c r="F52" s="1">
        <f>'Constants and exponents'!$C$25+('Constants and exponents'!$C$26*(LN(J52)))</f>
        <v>19.594021112800903</v>
      </c>
      <c r="G52" s="1" t="str">
        <f t="shared" si="5"/>
        <v>True</v>
      </c>
      <c r="H52" s="1">
        <f t="shared" si="6"/>
        <v>19.594021112800903</v>
      </c>
      <c r="I52" s="1">
        <f>IF(G52="False",'Constants and exponents'!$C$7*(D52^'Constants and exponents'!$C$8),'Constants and exponents'!$C$11*(D52^'Constants and exponents'!$C$12))</f>
        <v>46.731009093846978</v>
      </c>
      <c r="J52" s="1">
        <f>'Constants and exponents'!$C$15*(D52^'Constants and exponents'!$C$16)</f>
        <v>0.3023743295711685</v>
      </c>
      <c r="K52" s="1">
        <f>(((I52/'Constants and exponents'!$C$34)/'Constants and exponents'!$C$37)^0.5)*0.7071067812</f>
        <v>9.2456986982241709</v>
      </c>
      <c r="L52" s="17">
        <f>(((I52/'Constants and exponents'!$C$34)/'Constants and exponents'!$C$37)/2)</f>
        <v>85.482944415091566</v>
      </c>
      <c r="M52" s="18">
        <f>0.79*((('Constants and exponents'!$C$36*1000000000)/(9.81*'Constants and exponents'!$C$35))^0.33)*(J52^0.6667)</f>
        <v>33.858523284582262</v>
      </c>
      <c r="N52" s="17" t="str">
        <f t="shared" si="7"/>
        <v>False</v>
      </c>
      <c r="P52" s="5"/>
      <c r="Q52" s="49">
        <f t="shared" si="1"/>
        <v>6.0032535574881599E-3</v>
      </c>
      <c r="R52" s="5" t="str">
        <f>IF(Q52&gt;('Constants and exponents'!$F$44/100),"True","False")</f>
        <v>False</v>
      </c>
    </row>
    <row r="53" spans="1:18" s="4" customFormat="1" x14ac:dyDescent="0.15">
      <c r="A53" s="7">
        <f t="shared" si="3"/>
        <v>51</v>
      </c>
      <c r="B53" s="7">
        <f>'Constants and exponents'!$C$29*(I52^'Constants and exponents'!$C$30)*L52</f>
        <v>22.732563360867456</v>
      </c>
      <c r="C53" s="7">
        <f t="shared" si="4"/>
        <v>543.48332213310903</v>
      </c>
      <c r="D53" s="7">
        <f>D52+('Constants and exponents'!$C$3*(B53^'Constants and exponents'!$C$4))</f>
        <v>492.20580036708867</v>
      </c>
      <c r="E53" s="4">
        <f>('Constants and exponents'!$C$19*(J53^'Constants and exponents'!$C$20))-'Constants and exponents'!$C$21</f>
        <v>30.667351958098948</v>
      </c>
      <c r="F53" s="4">
        <f>'Constants and exponents'!$C$25+('Constants and exponents'!$C$26*(LN(J53)))</f>
        <v>19.716847502845312</v>
      </c>
      <c r="G53" s="4" t="str">
        <f t="shared" si="5"/>
        <v>True</v>
      </c>
      <c r="H53" s="4">
        <f t="shared" si="6"/>
        <v>19.716847502845312</v>
      </c>
      <c r="I53" s="4">
        <f>IF(G53="False",'Constants and exponents'!$C$7*(D53^'Constants and exponents'!$C$8),'Constants and exponents'!$C$11*(D53^'Constants and exponents'!$C$12))</f>
        <v>48.069308779564565</v>
      </c>
      <c r="J53" s="4">
        <f>'Constants and exponents'!$C$15*(D53^'Constants and exponents'!$C$16)</f>
        <v>0.30667351958098948</v>
      </c>
      <c r="K53" s="4">
        <f>(((I53/'Constants and exponents'!$C$34)/'Constants and exponents'!$C$37)^0.5)*0.7071067812</f>
        <v>9.3771550144187135</v>
      </c>
      <c r="L53" s="7">
        <f>(((I53/'Constants and exponents'!$C$34)/'Constants and exponents'!$C$37)/2)</f>
        <v>87.93103616109228</v>
      </c>
      <c r="M53" s="6">
        <f>0.79*((('Constants and exponents'!$C$36*1000000000)/(9.81*'Constants and exponents'!$C$35))^0.33)*(J53^0.6667)</f>
        <v>34.178719647686187</v>
      </c>
      <c r="N53" s="14" t="str">
        <f t="shared" si="7"/>
        <v>False</v>
      </c>
      <c r="P53" s="5"/>
      <c r="Q53" s="49">
        <f t="shared" si="1"/>
        <v>5.9030569215333811E-3</v>
      </c>
      <c r="R53" s="5" t="str">
        <f>IF(Q53&gt;('Constants and exponents'!$F$44/100),"True","False")</f>
        <v>False</v>
      </c>
    </row>
    <row r="54" spans="1:18" s="4" customFormat="1" x14ac:dyDescent="0.15">
      <c r="A54" s="7">
        <f t="shared" si="3"/>
        <v>52</v>
      </c>
      <c r="B54" s="7">
        <f>'Constants and exponents'!$C$29*(I53^'Constants and exponents'!$C$30)*L53</f>
        <v>23.08835041555032</v>
      </c>
      <c r="C54" s="7">
        <f t="shared" si="4"/>
        <v>563.3634595622035</v>
      </c>
      <c r="D54" s="7">
        <f>D53+('Constants and exponents'!$C$3*(B54^'Constants and exponents'!$C$4))</f>
        <v>510.67648069952895</v>
      </c>
      <c r="E54" s="4">
        <f>('Constants and exponents'!$C$19*(J54^'Constants and exponents'!$C$20))-'Constants and exponents'!$C$21</f>
        <v>31.093953948684494</v>
      </c>
      <c r="F54" s="4">
        <f>'Constants and exponents'!$C$25+('Constants and exponents'!$C$26*(LN(J54)))</f>
        <v>19.837035905275542</v>
      </c>
      <c r="G54" s="4" t="str">
        <f t="shared" si="5"/>
        <v>True</v>
      </c>
      <c r="H54" s="4">
        <f t="shared" si="6"/>
        <v>19.837035905275542</v>
      </c>
      <c r="I54" s="4">
        <f>IF(G54="False",'Constants and exponents'!$C$7*(D54^'Constants and exponents'!$C$8),'Constants and exponents'!$C$11*(D54^'Constants and exponents'!$C$12))</f>
        <v>49.41595857721552</v>
      </c>
      <c r="J54" s="4">
        <f>'Constants and exponents'!$C$15*(D54^'Constants and exponents'!$C$16)</f>
        <v>0.31093953948684494</v>
      </c>
      <c r="K54" s="4">
        <f>(((I54/'Constants and exponents'!$C$34)/'Constants and exponents'!$C$37)^0.5)*0.7071067812</f>
        <v>9.5075970884734264</v>
      </c>
      <c r="L54" s="7">
        <f>(((I54/'Constants and exponents'!$C$34)/'Constants and exponents'!$C$37)/2)</f>
        <v>90.394402393308908</v>
      </c>
      <c r="M54" s="6">
        <f>0.79*((('Constants and exponents'!$C$36*1000000000)/(9.81*'Constants and exponents'!$C$35))^0.33)*(J54^0.6667)</f>
        <v>34.494970045877579</v>
      </c>
      <c r="N54" s="14" t="str">
        <f t="shared" si="7"/>
        <v>False</v>
      </c>
      <c r="P54" s="5"/>
      <c r="Q54" s="49">
        <f t="shared" si="1"/>
        <v>5.8062343766508741E-3</v>
      </c>
      <c r="R54" s="5" t="str">
        <f>IF(Q54&gt;('Constants and exponents'!$F$44/100),"True","False")</f>
        <v>False</v>
      </c>
    </row>
    <row r="55" spans="1:18" s="4" customFormat="1" x14ac:dyDescent="0.15">
      <c r="A55" s="7">
        <f t="shared" si="3"/>
        <v>53</v>
      </c>
      <c r="B55" s="7">
        <f>'Constants and exponents'!$C$29*(I54^'Constants and exponents'!$C$30)*L54</f>
        <v>23.441885809468982</v>
      </c>
      <c r="C55" s="7">
        <f t="shared" si="4"/>
        <v>583.53432508621347</v>
      </c>
      <c r="D55" s="7">
        <f>D54+('Constants and exponents'!$C$3*(B55^'Constants and exponents'!$C$4))</f>
        <v>529.42998934710408</v>
      </c>
      <c r="E55" s="4">
        <f>('Constants and exponents'!$C$19*(J55^'Constants and exponents'!$C$20))-'Constants and exponents'!$C$21</f>
        <v>31.517332722630144</v>
      </c>
      <c r="F55" s="4">
        <f>'Constants and exponents'!$C$25+('Constants and exponents'!$C$26*(LN(J55)))</f>
        <v>19.954696846989883</v>
      </c>
      <c r="G55" s="4" t="str">
        <f t="shared" si="5"/>
        <v>True</v>
      </c>
      <c r="H55" s="4">
        <f t="shared" si="6"/>
        <v>19.954696846989883</v>
      </c>
      <c r="I55" s="4">
        <f>IF(G55="False",'Constants and exponents'!$C$7*(D55^'Constants and exponents'!$C$8),'Constants and exponents'!$C$11*(D55^'Constants and exponents'!$C$12))</f>
        <v>50.770826721836407</v>
      </c>
      <c r="J55" s="4">
        <f>'Constants and exponents'!$C$15*(D55^'Constants and exponents'!$C$16)</f>
        <v>0.31517332722630143</v>
      </c>
      <c r="K55" s="4">
        <f>(((I55/'Constants and exponents'!$C$34)/'Constants and exponents'!$C$37)^0.5)*0.7071067812</f>
        <v>9.6370535997016304</v>
      </c>
      <c r="L55" s="7">
        <f>(((I55/'Constants and exponents'!$C$34)/'Constants and exponents'!$C$37)/2)</f>
        <v>92.872802079988389</v>
      </c>
      <c r="M55" s="6">
        <f>0.79*((('Constants and exponents'!$C$36*1000000000)/(9.81*'Constants and exponents'!$C$35))^0.33)*(J55^0.6667)</f>
        <v>34.807404340745251</v>
      </c>
      <c r="N55" s="14" t="str">
        <f t="shared" si="7"/>
        <v>False</v>
      </c>
      <c r="P55" s="5"/>
      <c r="Q55" s="49">
        <f t="shared" si="1"/>
        <v>5.7126185623792404E-3</v>
      </c>
      <c r="R55" s="5" t="str">
        <f>IF(Q55&gt;('Constants and exponents'!$F$44/100),"True","False")</f>
        <v>False</v>
      </c>
    </row>
    <row r="56" spans="1:18" s="4" customFormat="1" x14ac:dyDescent="0.15">
      <c r="A56" s="7">
        <f t="shared" si="3"/>
        <v>54</v>
      </c>
      <c r="B56" s="7">
        <f>'Constants and exponents'!$C$29*(I55^'Constants and exponents'!$C$30)*L55</f>
        <v>23.793229963245938</v>
      </c>
      <c r="C56" s="7">
        <f t="shared" si="4"/>
        <v>603.99404603218647</v>
      </c>
      <c r="D56" s="7">
        <f>D55+('Constants and exponents'!$C$3*(B56^'Constants and exponents'!$C$4))</f>
        <v>548.4645733177008</v>
      </c>
      <c r="E56" s="4">
        <f>('Constants and exponents'!$C$19*(J56^'Constants and exponents'!$C$20))-'Constants and exponents'!$C$21</f>
        <v>31.937577582760952</v>
      </c>
      <c r="F56" s="4">
        <f>'Constants and exponents'!$C$25+('Constants and exponents'!$C$26*(LN(J56)))</f>
        <v>20.069934067254721</v>
      </c>
      <c r="G56" s="4" t="str">
        <f t="shared" si="5"/>
        <v>True</v>
      </c>
      <c r="H56" s="4">
        <f t="shared" si="6"/>
        <v>20.069934067254721</v>
      </c>
      <c r="I56" s="4">
        <f>IF(G56="False",'Constants and exponents'!$C$7*(D56^'Constants and exponents'!$C$8),'Constants and exponents'!$C$11*(D56^'Constants and exponents'!$C$12))</f>
        <v>52.133786272582505</v>
      </c>
      <c r="J56" s="4">
        <f>'Constants and exponents'!$C$15*(D56^'Constants and exponents'!$C$16)</f>
        <v>0.31937577582760951</v>
      </c>
      <c r="K56" s="4">
        <f>(((I56/'Constants and exponents'!$C$34)/'Constants and exponents'!$C$37)^0.5)*0.7071067812</f>
        <v>9.7655518542246647</v>
      </c>
      <c r="L56" s="7">
        <f>(((I56/'Constants and exponents'!$C$34)/'Constants and exponents'!$C$37)/2)</f>
        <v>95.366003013922153</v>
      </c>
      <c r="M56" s="6">
        <f>0.79*((('Constants and exponents'!$C$36*1000000000)/(9.81*'Constants and exponents'!$C$35))^0.33)*(J56^0.6667)</f>
        <v>35.116145568520658</v>
      </c>
      <c r="N56" s="14" t="str">
        <f t="shared" si="7"/>
        <v>False</v>
      </c>
      <c r="P56" s="5"/>
      <c r="Q56" s="49">
        <f t="shared" si="1"/>
        <v>5.622052840107368E-3</v>
      </c>
      <c r="R56" s="5" t="str">
        <f>IF(Q56&gt;('Constants and exponents'!$F$44/100),"True","False")</f>
        <v>False</v>
      </c>
    </row>
    <row r="57" spans="1:18" s="1" customFormat="1" x14ac:dyDescent="0.15">
      <c r="A57" s="17">
        <f t="shared" si="3"/>
        <v>55</v>
      </c>
      <c r="B57" s="7">
        <f>'Constants and exponents'!$C$29*(I56^'Constants and exponents'!$C$30)*L56</f>
        <v>24.142440495558144</v>
      </c>
      <c r="C57" s="17">
        <f t="shared" si="4"/>
        <v>624.74080008584144</v>
      </c>
      <c r="D57" s="17">
        <f>D56+('Constants and exponents'!$C$3*(B57^'Constants and exponents'!$C$4))</f>
        <v>567.77852571414735</v>
      </c>
      <c r="E57" s="1">
        <f>('Constants and exponents'!$C$19*(J57^'Constants and exponents'!$C$20))-'Constants and exponents'!$C$21</f>
        <v>32.354773640226384</v>
      </c>
      <c r="F57" s="1">
        <f>'Constants and exponents'!$C$25+('Constants and exponents'!$C$26*(LN(J57)))</f>
        <v>20.182845061393358</v>
      </c>
      <c r="G57" s="1" t="str">
        <f t="shared" si="5"/>
        <v>True</v>
      </c>
      <c r="H57" s="1">
        <f t="shared" si="6"/>
        <v>20.182845061393358</v>
      </c>
      <c r="I57" s="1">
        <f>IF(G57="False",'Constants and exponents'!$C$7*(D57^'Constants and exponents'!$C$8),'Constants and exponents'!$C$11*(D57^'Constants and exponents'!$C$12))</f>
        <v>53.504714840303599</v>
      </c>
      <c r="J57" s="1">
        <f>'Constants and exponents'!$C$15*(D57^'Constants and exponents'!$C$16)</f>
        <v>0.32354773640226381</v>
      </c>
      <c r="K57" s="1">
        <f>(((I57/'Constants and exponents'!$C$34)/'Constants and exponents'!$C$37)^0.5)*0.7071067812</f>
        <v>9.8931178764753867</v>
      </c>
      <c r="L57" s="17">
        <f>(((I57/'Constants and exponents'!$C$34)/'Constants and exponents'!$C$37)/2)</f>
        <v>97.873781314112833</v>
      </c>
      <c r="M57" s="18">
        <f>0.79*((('Constants and exponents'!$C$36*1000000000)/(9.81*'Constants and exponents'!$C$35))^0.33)*(J57^0.6667)</f>
        <v>35.421310427180124</v>
      </c>
      <c r="N57" s="17" t="str">
        <f t="shared" si="7"/>
        <v>False</v>
      </c>
      <c r="P57" s="5"/>
      <c r="Q57" s="49">
        <f t="shared" si="1"/>
        <v>5.5343904718812183E-3</v>
      </c>
      <c r="R57" s="5" t="str">
        <f>IF(Q57&gt;('Constants and exponents'!$F$44/100),"True","False")</f>
        <v>False</v>
      </c>
    </row>
    <row r="58" spans="1:18" s="4" customFormat="1" x14ac:dyDescent="0.15">
      <c r="A58" s="7">
        <f t="shared" si="3"/>
        <v>56</v>
      </c>
      <c r="B58" s="7">
        <f>'Constants and exponents'!$C$29*(I57^'Constants and exponents'!$C$30)*L57</f>
        <v>24.489572405431399</v>
      </c>
      <c r="C58" s="7">
        <f t="shared" si="4"/>
        <v>645.77281295988234</v>
      </c>
      <c r="D58" s="7">
        <f>D57+('Constants and exponents'!$C$3*(B58^'Constants and exponents'!$C$4))</f>
        <v>587.37018363849245</v>
      </c>
      <c r="E58" s="4">
        <f>('Constants and exponents'!$C$19*(J58^'Constants and exponents'!$C$20))-'Constants and exponents'!$C$21</f>
        <v>32.769002088436004</v>
      </c>
      <c r="F58" s="4">
        <f>'Constants and exponents'!$C$25+('Constants and exponents'!$C$26*(LN(J58)))</f>
        <v>20.293521571179333</v>
      </c>
      <c r="G58" s="4" t="str">
        <f t="shared" si="5"/>
        <v>True</v>
      </c>
      <c r="H58" s="4">
        <f t="shared" si="6"/>
        <v>20.293521571179333</v>
      </c>
      <c r="I58" s="4">
        <f>IF(G58="False",'Constants and exponents'!$C$7*(D58^'Constants and exponents'!$C$8),'Constants and exponents'!$C$11*(D58^'Constants and exponents'!$C$12))</f>
        <v>54.88349433567609</v>
      </c>
      <c r="J58" s="4">
        <f>'Constants and exponents'!$C$15*(D58^'Constants and exponents'!$C$16)</f>
        <v>0.32769002088436006</v>
      </c>
      <c r="K58" s="4">
        <f>(((I58/'Constants and exponents'!$C$34)/'Constants and exponents'!$C$37)^0.5)*0.7071067812</f>
        <v>10.019776492959489</v>
      </c>
      <c r="L58" s="7">
        <f>(((I58/'Constants and exponents'!$C$34)/'Constants and exponents'!$C$37)/2)</f>
        <v>100.39592096504354</v>
      </c>
      <c r="M58" s="6">
        <f>0.79*((('Constants and exponents'!$C$36*1000000000)/(9.81*'Constants and exponents'!$C$35))^0.33)*(J58^0.6667)</f>
        <v>35.72300971999973</v>
      </c>
      <c r="N58" s="14" t="str">
        <f t="shared" si="7"/>
        <v>False</v>
      </c>
      <c r="P58" s="5"/>
      <c r="Q58" s="49">
        <f t="shared" si="1"/>
        <v>5.4494938701180624E-3</v>
      </c>
      <c r="R58" s="5" t="str">
        <f>IF(Q58&gt;('Constants and exponents'!$F$44/100),"True","False")</f>
        <v>False</v>
      </c>
    </row>
    <row r="59" spans="1:18" s="4" customFormat="1" x14ac:dyDescent="0.15">
      <c r="A59" s="7">
        <f t="shared" si="3"/>
        <v>57</v>
      </c>
      <c r="B59" s="7">
        <f>'Constants and exponents'!$C$29*(I58^'Constants and exponents'!$C$30)*L58</f>
        <v>24.834678239411161</v>
      </c>
      <c r="C59" s="7">
        <f t="shared" si="4"/>
        <v>667.08835621357969</v>
      </c>
      <c r="D59" s="7">
        <f>D58+('Constants and exponents'!$C$3*(B59^'Constants and exponents'!$C$4))</f>
        <v>607.23792623002134</v>
      </c>
      <c r="E59" s="4">
        <f>('Constants and exponents'!$C$19*(J59^'Constants and exponents'!$C$20))-'Constants and exponents'!$C$21</f>
        <v>33.180340454254306</v>
      </c>
      <c r="F59" s="4">
        <f>'Constants and exponents'!$C$25+('Constants and exponents'!$C$26*(LN(J59)))</f>
        <v>20.402050028076307</v>
      </c>
      <c r="G59" s="4" t="str">
        <f t="shared" si="5"/>
        <v>True</v>
      </c>
      <c r="H59" s="4">
        <f t="shared" si="6"/>
        <v>20.402050028076307</v>
      </c>
      <c r="I59" s="4">
        <f>IF(G59="False",'Constants and exponents'!$C$7*(D59^'Constants and exponents'!$C$8),'Constants and exponents'!$C$11*(D59^'Constants and exponents'!$C$12))</f>
        <v>56.27001073596707</v>
      </c>
      <c r="J59" s="4">
        <f>'Constants and exponents'!$C$15*(D59^'Constants and exponents'!$C$16)</f>
        <v>0.33180340454254309</v>
      </c>
      <c r="K59" s="4">
        <f>(((I59/'Constants and exponents'!$C$34)/'Constants and exponents'!$C$37)^0.5)*0.7071067812</f>
        <v>10.145551409063298</v>
      </c>
      <c r="L59" s="7">
        <f>(((I59/'Constants and exponents'!$C$34)/'Constants and exponents'!$C$37)/2)</f>
        <v>102.93221339002977</v>
      </c>
      <c r="M59" s="6">
        <f>0.79*((('Constants and exponents'!$C$36*1000000000)/(9.81*'Constants and exponents'!$C$35))^0.33)*(J59^0.6667)</f>
        <v>36.021348760210245</v>
      </c>
      <c r="N59" s="14" t="str">
        <f t="shared" si="7"/>
        <v>False</v>
      </c>
      <c r="P59" s="5"/>
      <c r="Q59" s="49">
        <f t="shared" si="1"/>
        <v>5.3672339117323197E-3</v>
      </c>
      <c r="R59" s="5" t="str">
        <f>IF(Q59&gt;('Constants and exponents'!$F$44/100),"True","False")</f>
        <v>False</v>
      </c>
    </row>
    <row r="60" spans="1:18" s="4" customFormat="1" x14ac:dyDescent="0.15">
      <c r="A60" s="7">
        <f t="shared" si="3"/>
        <v>58</v>
      </c>
      <c r="B60" s="7">
        <f>'Constants and exponents'!$C$29*(I59^'Constants and exponents'!$C$30)*L59</f>
        <v>25.177808245124343</v>
      </c>
      <c r="C60" s="7">
        <f t="shared" si="4"/>
        <v>688.6857452111127</v>
      </c>
      <c r="D60" s="7">
        <f>D59+('Constants and exponents'!$C$3*(B60^'Constants and exponents'!$C$4))</f>
        <v>627.38017282612077</v>
      </c>
      <c r="E60" s="4">
        <f>('Constants and exponents'!$C$19*(J60^'Constants and exponents'!$C$20))-'Constants and exponents'!$C$21</f>
        <v>33.588862828728047</v>
      </c>
      <c r="F60" s="4">
        <f>'Constants and exponents'!$C$25+('Constants and exponents'!$C$26*(LN(J60)))</f>
        <v>20.508511954656623</v>
      </c>
      <c r="G60" s="4" t="str">
        <f t="shared" si="5"/>
        <v>True</v>
      </c>
      <c r="H60" s="4">
        <f t="shared" si="6"/>
        <v>20.508511954656623</v>
      </c>
      <c r="I60" s="4">
        <f>IF(G60="False",'Constants and exponents'!$C$7*(D60^'Constants and exponents'!$C$8),'Constants and exponents'!$C$11*(D60^'Constants and exponents'!$C$12))</f>
        <v>57.66415386871892</v>
      </c>
      <c r="J60" s="4">
        <f>'Constants and exponents'!$C$15*(D60^'Constants and exponents'!$C$16)</f>
        <v>0.3358886282872805</v>
      </c>
      <c r="K60" s="4">
        <f>(((I60/'Constants and exponents'!$C$34)/'Constants and exponents'!$C$37)^0.5)*0.7071067812</f>
        <v>10.270465279603302</v>
      </c>
      <c r="L60" s="7">
        <f>(((I60/'Constants and exponents'!$C$34)/'Constants and exponents'!$C$37)/2)</f>
        <v>105.4824570555234</v>
      </c>
      <c r="M60" s="6">
        <f>0.79*((('Constants and exponents'!$C$36*1000000000)/(9.81*'Constants and exponents'!$C$35))^0.33)*(J60^0.6667)</f>
        <v>36.31642774082578</v>
      </c>
      <c r="N60" s="14" t="str">
        <f t="shared" si="7"/>
        <v>False</v>
      </c>
      <c r="P60" s="5"/>
      <c r="Q60" s="49">
        <f t="shared" si="1"/>
        <v>5.2874893107548639E-3</v>
      </c>
      <c r="R60" s="5" t="str">
        <f>IF(Q60&gt;('Constants and exponents'!$F$44/100),"True","False")</f>
        <v>False</v>
      </c>
    </row>
    <row r="61" spans="1:18" s="4" customFormat="1" x14ac:dyDescent="0.15">
      <c r="A61" s="7">
        <f t="shared" si="3"/>
        <v>59</v>
      </c>
      <c r="B61" s="7">
        <f>'Constants and exponents'!$C$29*(I60^'Constants and exponents'!$C$30)*L60</f>
        <v>25.519010512569789</v>
      </c>
      <c r="C61" s="7">
        <f t="shared" si="4"/>
        <v>710.56333720740952</v>
      </c>
      <c r="D61" s="7">
        <f>D60+('Constants and exponents'!$C$3*(B61^'Constants and exponents'!$C$4))</f>
        <v>647.79538123617658</v>
      </c>
      <c r="E61" s="4">
        <f>('Constants and exponents'!$C$19*(J61^'Constants and exponents'!$C$20))-'Constants and exponents'!$C$21</f>
        <v>33.99464007935542</v>
      </c>
      <c r="F61" s="4">
        <f>'Constants and exponents'!$C$25+('Constants and exponents'!$C$26*(LN(J61)))</f>
        <v>20.612984328841144</v>
      </c>
      <c r="G61" s="4" t="str">
        <f t="shared" si="5"/>
        <v>True</v>
      </c>
      <c r="H61" s="4">
        <f t="shared" si="6"/>
        <v>20.612984328841144</v>
      </c>
      <c r="I61" s="4">
        <f>IF(G61="False",'Constants and exponents'!$C$7*(D61^'Constants and exponents'!$C$8),'Constants and exponents'!$C$11*(D61^'Constants and exponents'!$C$12))</f>
        <v>59.065817210829152</v>
      </c>
      <c r="J61" s="4">
        <f>'Constants and exponents'!$C$15*(D61^'Constants and exponents'!$C$16)</f>
        <v>0.3399464007935542</v>
      </c>
      <c r="K61" s="4">
        <f>(((I61/'Constants and exponents'!$C$34)/'Constants and exponents'!$C$37)^0.5)*0.7071067812</f>
        <v>10.394539773731662</v>
      </c>
      <c r="L61" s="7">
        <f>(((I61/'Constants and exponents'!$C$34)/'Constants and exponents'!$C$37)/2)</f>
        <v>108.04645710357836</v>
      </c>
      <c r="M61" s="6">
        <f>0.79*((('Constants and exponents'!$C$36*1000000000)/(9.81*'Constants and exponents'!$C$35))^0.33)*(J61^0.6667)</f>
        <v>36.608342073226808</v>
      </c>
      <c r="N61" s="14" t="str">
        <f t="shared" si="7"/>
        <v>False</v>
      </c>
      <c r="P61" s="5"/>
      <c r="Q61" s="49">
        <f t="shared" si="1"/>
        <v>5.2101460440578482E-3</v>
      </c>
      <c r="R61" s="5" t="str">
        <f>IF(Q61&gt;('Constants and exponents'!$F$44/100),"True","False")</f>
        <v>False</v>
      </c>
    </row>
    <row r="62" spans="1:18" s="1" customFormat="1" x14ac:dyDescent="0.15">
      <c r="A62" s="17">
        <f t="shared" si="3"/>
        <v>60</v>
      </c>
      <c r="B62" s="7">
        <f>'Constants and exponents'!$C$29*(I61^'Constants and exponents'!$C$30)*L61</f>
        <v>25.858331104321817</v>
      </c>
      <c r="C62" s="17">
        <f t="shared" si="4"/>
        <v>732.71952955132758</v>
      </c>
      <c r="D62" s="17">
        <f>D61+('Constants and exponents'!$C$3*(B62^'Constants and exponents'!$C$4))</f>
        <v>668.48204611963399</v>
      </c>
      <c r="E62" s="1">
        <f>('Constants and exponents'!$C$19*(J62^'Constants and exponents'!$C$20))-'Constants and exponents'!$C$21</f>
        <v>34.397740045676898</v>
      </c>
      <c r="F62" s="1">
        <f>'Constants and exponents'!$C$25+('Constants and exponents'!$C$26*(LN(J62)))</f>
        <v>20.715539915013075</v>
      </c>
      <c r="G62" s="1" t="str">
        <f t="shared" si="5"/>
        <v>True</v>
      </c>
      <c r="H62" s="1">
        <f t="shared" si="6"/>
        <v>20.715539915013075</v>
      </c>
      <c r="I62" s="1">
        <f>IF(G62="False",'Constants and exponents'!$C$7*(D62^'Constants and exponents'!$C$8),'Constants and exponents'!$C$11*(D62^'Constants and exponents'!$C$12))</f>
        <v>60.474897701664844</v>
      </c>
      <c r="J62" s="1">
        <f>'Constants and exponents'!$C$15*(D62^'Constants and exponents'!$C$16)</f>
        <v>0.343977400456769</v>
      </c>
      <c r="K62" s="1">
        <f>(((I62/'Constants and exponents'!$C$34)/'Constants and exponents'!$C$37)^0.5)*0.7071067812</f>
        <v>10.517795634742029</v>
      </c>
      <c r="L62" s="17">
        <f>(((I62/'Constants and exponents'!$C$34)/'Constants and exponents'!$C$37)/2)</f>
        <v>110.6240250099893</v>
      </c>
      <c r="M62" s="18">
        <f>0.79*((('Constants and exponents'!$C$36*1000000000)/(9.81*'Constants and exponents'!$C$35))^0.33)*(J62^0.6667)</f>
        <v>36.89718269765217</v>
      </c>
      <c r="N62" s="17" t="str">
        <f t="shared" si="7"/>
        <v>False</v>
      </c>
      <c r="P62" s="5"/>
      <c r="Q62" s="49">
        <f t="shared" si="1"/>
        <v>5.1350968252923384E-3</v>
      </c>
      <c r="R62" s="5" t="str">
        <f>IF(Q62&gt;('Constants and exponents'!$F$44/100),"True","False")</f>
        <v>False</v>
      </c>
    </row>
    <row r="63" spans="1:18" s="4" customFormat="1" x14ac:dyDescent="0.15">
      <c r="A63" s="7">
        <f t="shared" si="3"/>
        <v>61</v>
      </c>
      <c r="B63" s="7">
        <f>'Constants and exponents'!$C$29*(I62^'Constants and exponents'!$C$30)*L62</f>
        <v>26.19581417569837</v>
      </c>
      <c r="C63" s="7">
        <f t="shared" si="4"/>
        <v>755.15275799699725</v>
      </c>
      <c r="D63" s="7">
        <f>D62+('Constants and exponents'!$C$3*(B63^'Constants and exponents'!$C$4))</f>
        <v>689.43869746019266</v>
      </c>
      <c r="E63" s="4">
        <f>('Constants and exponents'!$C$19*(J63^'Constants and exponents'!$C$20))-'Constants and exponents'!$C$21</f>
        <v>34.798227719767901</v>
      </c>
      <c r="F63" s="4">
        <f>'Constants and exponents'!$C$25+('Constants and exponents'!$C$26*(LN(J63)))</f>
        <v>20.816247565552679</v>
      </c>
      <c r="G63" s="4" t="str">
        <f t="shared" si="5"/>
        <v>True</v>
      </c>
      <c r="H63" s="4">
        <f t="shared" si="6"/>
        <v>20.816247565552679</v>
      </c>
      <c r="I63" s="4">
        <f>IF(G63="False",'Constants and exponents'!$C$7*(D63^'Constants and exponents'!$C$8),'Constants and exponents'!$C$11*(D63^'Constants and exponents'!$C$12))</f>
        <v>61.891295568993186</v>
      </c>
      <c r="J63" s="4">
        <f>'Constants and exponents'!$C$15*(D63^'Constants and exponents'!$C$16)</f>
        <v>0.34798227719767899</v>
      </c>
      <c r="K63" s="4">
        <f>(((I63/'Constants and exponents'!$C$34)/'Constants and exponents'!$C$37)^0.5)*0.7071067812</f>
        <v>10.640252735258773</v>
      </c>
      <c r="L63" s="7">
        <f>(((I63/'Constants and exponents'!$C$34)/'Constants and exponents'!$C$37)/2)</f>
        <v>113.21497826587404</v>
      </c>
      <c r="M63" s="6">
        <f>0.79*((('Constants and exponents'!$C$36*1000000000)/(9.81*'Constants and exponents'!$C$35))^0.33)*(J63^0.6667)</f>
        <v>37.183036368386375</v>
      </c>
      <c r="N63" s="14" t="str">
        <f t="shared" si="7"/>
        <v>False</v>
      </c>
      <c r="P63" s="5"/>
      <c r="Q63" s="49">
        <f t="shared" si="1"/>
        <v>5.0622406226139951E-3</v>
      </c>
      <c r="R63" s="5" t="str">
        <f>IF(Q63&gt;('Constants and exponents'!$F$44/100),"True","False")</f>
        <v>False</v>
      </c>
    </row>
    <row r="64" spans="1:18" s="4" customFormat="1" x14ac:dyDescent="0.15">
      <c r="A64" s="7">
        <f t="shared" si="3"/>
        <v>62</v>
      </c>
      <c r="B64" s="7">
        <f>'Constants and exponents'!$C$29*(I63^'Constants and exponents'!$C$30)*L63</f>
        <v>26.531502085828876</v>
      </c>
      <c r="C64" s="7">
        <f t="shared" si="4"/>
        <v>777.86149511501469</v>
      </c>
      <c r="D64" s="7">
        <f>D63+('Constants and exponents'!$C$3*(B64^'Constants and exponents'!$C$4))</f>
        <v>710.66389912885575</v>
      </c>
      <c r="E64" s="4">
        <f>('Constants and exponents'!$C$19*(J64^'Constants and exponents'!$C$20))-'Constants and exponents'!$C$21</f>
        <v>35.196165413038564</v>
      </c>
      <c r="F64" s="4">
        <f>'Constants and exponents'!$C$25+('Constants and exponents'!$C$26*(LN(J64)))</f>
        <v>20.915172495904955</v>
      </c>
      <c r="G64" s="4" t="str">
        <f t="shared" si="5"/>
        <v>True</v>
      </c>
      <c r="H64" s="4">
        <f t="shared" si="6"/>
        <v>20.915172495904955</v>
      </c>
      <c r="I64" s="4">
        <f>IF(G64="False",'Constants and exponents'!$C$7*(D64^'Constants and exponents'!$C$8),'Constants and exponents'!$C$11*(D64^'Constants and exponents'!$C$12))</f>
        <v>63.314914166634139</v>
      </c>
      <c r="J64" s="4">
        <f>'Constants and exponents'!$C$15*(D64^'Constants and exponents'!$C$16)</f>
        <v>0.35196165413038566</v>
      </c>
      <c r="K64" s="4">
        <f>(((I64/'Constants and exponents'!$C$34)/'Constants and exponents'!$C$37)^0.5)*0.7071067812</f>
        <v>10.761930128239349</v>
      </c>
      <c r="L64" s="7">
        <f>(((I64/'Constants and exponents'!$C$34)/'Constants and exponents'!$C$37)/2)</f>
        <v>115.81914008069897</v>
      </c>
      <c r="M64" s="6">
        <f>0.79*((('Constants and exponents'!$C$36*1000000000)/(9.81*'Constants and exponents'!$C$35))^0.33)*(J64^0.6667)</f>
        <v>37.465985916108117</v>
      </c>
      <c r="N64" s="14" t="str">
        <f t="shared" si="7"/>
        <v>False</v>
      </c>
      <c r="P64" s="5"/>
      <c r="Q64" s="49">
        <f t="shared" si="1"/>
        <v>4.9914822161890287E-3</v>
      </c>
      <c r="R64" s="5" t="str">
        <f>IF(Q64&gt;('Constants and exponents'!$F$44/100),"True","False")</f>
        <v>False</v>
      </c>
    </row>
    <row r="65" spans="1:18" s="4" customFormat="1" x14ac:dyDescent="0.15">
      <c r="A65" s="7">
        <f t="shared" si="3"/>
        <v>63</v>
      </c>
      <c r="B65" s="7">
        <f>'Constants and exponents'!$C$29*(I64^'Constants and exponents'!$C$30)*L64</f>
        <v>26.865435500454726</v>
      </c>
      <c r="C65" s="7">
        <f t="shared" si="4"/>
        <v>800.84424879594462</v>
      </c>
      <c r="D65" s="7">
        <f>D64+('Constants and exponents'!$C$3*(B65^'Constants and exponents'!$C$4))</f>
        <v>732.15624752921951</v>
      </c>
      <c r="E65" s="4">
        <f>('Constants and exponents'!$C$19*(J65^'Constants and exponents'!$C$20))-'Constants and exponents'!$C$21</f>
        <v>35.591612910594456</v>
      </c>
      <c r="F65" s="4">
        <f>'Constants and exponents'!$C$25+('Constants and exponents'!$C$26*(LN(J65)))</f>
        <v>21.012376535917127</v>
      </c>
      <c r="G65" s="4" t="str">
        <f t="shared" si="5"/>
        <v>True</v>
      </c>
      <c r="H65" s="4">
        <f t="shared" si="6"/>
        <v>21.012376535917127</v>
      </c>
      <c r="I65" s="4">
        <f>IF(G65="False",'Constants and exponents'!$C$7*(D65^'Constants and exponents'!$C$8),'Constants and exponents'!$C$11*(D65^'Constants and exponents'!$C$12))</f>
        <v>64.74565982285479</v>
      </c>
      <c r="J65" s="4">
        <f>'Constants and exponents'!$C$15*(D65^'Constants and exponents'!$C$16)</f>
        <v>0.35591612910594456</v>
      </c>
      <c r="K65" s="4">
        <f>(((I65/'Constants and exponents'!$C$34)/'Constants and exponents'!$C$37)^0.5)*0.7071067812</f>
        <v>10.882846094173154</v>
      </c>
      <c r="L65" s="7">
        <f>(((I65/'Constants and exponents'!$C$34)/'Constants and exponents'!$C$37)/2)</f>
        <v>118.43633910495345</v>
      </c>
      <c r="M65" s="6">
        <f>0.79*((('Constants and exponents'!$C$36*1000000000)/(9.81*'Constants and exponents'!$C$35))^0.33)*(J65^0.6667)</f>
        <v>37.746110489588212</v>
      </c>
      <c r="N65" s="14" t="str">
        <f t="shared" si="7"/>
        <v>False</v>
      </c>
      <c r="P65" s="5"/>
      <c r="Q65" s="49">
        <f t="shared" si="1"/>
        <v>4.9227317918528433E-3</v>
      </c>
      <c r="R65" s="5" t="str">
        <f>IF(Q65&gt;('Constants and exponents'!$F$44/100),"True","False")</f>
        <v>False</v>
      </c>
    </row>
    <row r="66" spans="1:18" s="4" customFormat="1" x14ac:dyDescent="0.15">
      <c r="A66" s="7">
        <f t="shared" si="3"/>
        <v>64</v>
      </c>
      <c r="B66" s="7">
        <f>'Constants and exponents'!$C$29*(I65^'Constants and exponents'!$C$30)*L65</f>
        <v>27.197653487207482</v>
      </c>
      <c r="C66" s="7">
        <f t="shared" si="4"/>
        <v>824.09956083928182</v>
      </c>
      <c r="D66" s="7">
        <f>D65+('Constants and exponents'!$C$3*(B66^'Constants and exponents'!$C$4))</f>
        <v>753.91437031898545</v>
      </c>
      <c r="E66" s="4">
        <f>('Constants and exponents'!$C$19*(J66^'Constants and exponents'!$C$20))-'Constants and exponents'!$C$21</f>
        <v>35.984627614277215</v>
      </c>
      <c r="F66" s="4">
        <f>'Constants and exponents'!$C$25+('Constants and exponents'!$C$26*(LN(J66)))</f>
        <v>21.107918359858601</v>
      </c>
      <c r="G66" s="4" t="str">
        <f t="shared" si="5"/>
        <v>True</v>
      </c>
      <c r="H66" s="4">
        <f t="shared" si="6"/>
        <v>21.107918359858601</v>
      </c>
      <c r="I66" s="4">
        <f>IF(G66="False",'Constants and exponents'!$C$7*(D66^'Constants and exponents'!$C$8),'Constants and exponents'!$C$11*(D66^'Constants and exponents'!$C$12))</f>
        <v>66.183441698619234</v>
      </c>
      <c r="J66" s="4">
        <f>'Constants and exponents'!$C$15*(D66^'Constants and exponents'!$C$16)</f>
        <v>0.35984627614277215</v>
      </c>
      <c r="K66" s="4">
        <f>(((I66/'Constants and exponents'!$C$34)/'Constants and exponents'!$C$37)^0.5)*0.7071067812</f>
        <v>11.003018184819078</v>
      </c>
      <c r="L66" s="7">
        <f>(((I66/'Constants and exponents'!$C$34)/'Constants and exponents'!$C$37)/2)</f>
        <v>121.06640917085281</v>
      </c>
      <c r="M66" s="6">
        <f>0.79*((('Constants and exponents'!$C$36*1000000000)/(9.81*'Constants and exponents'!$C$35))^0.33)*(J66^0.6667)</f>
        <v>38.023485778681788</v>
      </c>
      <c r="N66" s="14" t="str">
        <f t="shared" ref="N66:N97" si="8">IF(H66&gt;M66,"True","False")</f>
        <v>False</v>
      </c>
      <c r="P66" s="5"/>
      <c r="Q66" s="49">
        <f t="shared" si="1"/>
        <v>4.8559045676491138E-3</v>
      </c>
      <c r="R66" s="5" t="str">
        <f>IF(Q66&gt;('Constants and exponents'!$F$44/100),"True","False")</f>
        <v>False</v>
      </c>
    </row>
    <row r="67" spans="1:18" s="1" customFormat="1" x14ac:dyDescent="0.15">
      <c r="A67" s="17">
        <f t="shared" ref="A67:A101" si="9">A66+1</f>
        <v>65</v>
      </c>
      <c r="B67" s="7">
        <f>'Constants and exponents'!$C$29*(I66^'Constants and exponents'!$C$30)*L66</f>
        <v>27.52819360403031</v>
      </c>
      <c r="C67" s="17">
        <f t="shared" si="4"/>
        <v>847.62600562163504</v>
      </c>
      <c r="D67" s="17">
        <f>D66+('Constants and exponents'!$C$3*(B67^'Constants and exponents'!$C$4))</f>
        <v>775.93692520220975</v>
      </c>
      <c r="E67" s="1">
        <f>('Constants and exponents'!$C$19*(J67^'Constants and exponents'!$C$20))-'Constants and exponents'!$C$21</f>
        <v>36.375264675388124</v>
      </c>
      <c r="F67" s="1">
        <f>'Constants and exponents'!$C$25+('Constants and exponents'!$C$26*(LN(J67)))</f>
        <v>21.201853697254883</v>
      </c>
      <c r="G67" s="1" t="str">
        <f t="shared" si="5"/>
        <v>True</v>
      </c>
      <c r="H67" s="1">
        <f t="shared" si="6"/>
        <v>21.201853697254883</v>
      </c>
      <c r="I67" s="1">
        <f>IF(G67="False",'Constants and exponents'!$C$7*(D67^'Constants and exponents'!$C$8),'Constants and exponents'!$C$11*(D67^'Constants and exponents'!$C$12))</f>
        <v>67.628171654898665</v>
      </c>
      <c r="J67" s="1">
        <f>'Constants and exponents'!$C$15*(D67^'Constants and exponents'!$C$16)</f>
        <v>0.36375264675388125</v>
      </c>
      <c r="K67" s="1">
        <f>(((I67/'Constants and exponents'!$C$34)/'Constants and exponents'!$C$37)^0.5)*0.7071067812</f>
        <v>11.122463263788362</v>
      </c>
      <c r="L67" s="17">
        <f>(((I67/'Constants and exponents'!$C$34)/'Constants and exponents'!$C$37)/2)</f>
        <v>123.70918904961458</v>
      </c>
      <c r="M67" s="18">
        <f>0.79*((('Constants and exponents'!$C$36*1000000000)/(9.81*'Constants and exponents'!$C$35))^0.33)*(J67^0.6667)</f>
        <v>38.298184220347956</v>
      </c>
      <c r="N67" s="17" t="str">
        <f t="shared" si="8"/>
        <v>False</v>
      </c>
      <c r="P67" s="5"/>
      <c r="Q67" s="49">
        <f t="shared" ref="Q67:Q101" si="10">ABS((D67+I67)-C67)/C67</f>
        <v>4.7909204502856488E-3</v>
      </c>
      <c r="R67" s="5" t="str">
        <f>IF(Q67&gt;('Constants and exponents'!$F$44/100),"True","False")</f>
        <v>False</v>
      </c>
    </row>
    <row r="68" spans="1:18" s="4" customFormat="1" x14ac:dyDescent="0.15">
      <c r="A68" s="7">
        <f t="shared" si="9"/>
        <v>66</v>
      </c>
      <c r="B68" s="7">
        <f>'Constants and exponents'!$C$29*(I67^'Constants and exponents'!$C$30)*L67</f>
        <v>27.857091981340325</v>
      </c>
      <c r="C68" s="7">
        <f t="shared" ref="C68:C96" si="11">D67+I67+B68</f>
        <v>871.42218883844873</v>
      </c>
      <c r="D68" s="7">
        <f>D67+('Constants and exponents'!$C$3*(B68^'Constants and exponents'!$C$4))</f>
        <v>798.22259878728198</v>
      </c>
      <c r="E68" s="4">
        <f>('Constants and exponents'!$C$19*(J68^'Constants and exponents'!$C$20))-'Constants and exponents'!$C$21</f>
        <v>36.763577117992355</v>
      </c>
      <c r="F68" s="4">
        <f>'Constants and exponents'!$C$25+('Constants and exponents'!$C$26*(LN(J68)))</f>
        <v>21.294235526422376</v>
      </c>
      <c r="G68" s="4" t="str">
        <f t="shared" ref="G68:G96" si="12">IF(G67="True", "True", IF(F68&gt;E68,"True","False"))</f>
        <v>True</v>
      </c>
      <c r="H68" s="4">
        <f t="shared" ref="H68:H96" si="13">IF(G68="True", F68, E68)</f>
        <v>21.294235526422376</v>
      </c>
      <c r="I68" s="4">
        <f>IF(G68="False",'Constants and exponents'!$C$7*(D68^'Constants and exponents'!$C$8),'Constants and exponents'!$C$11*(D68^'Constants and exponents'!$C$12))</f>
        <v>69.079764128318104</v>
      </c>
      <c r="J68" s="4">
        <f>'Constants and exponents'!$C$15*(D68^'Constants and exponents'!$C$16)</f>
        <v>0.36763577117992358</v>
      </c>
      <c r="K68" s="4">
        <f>(((I68/'Constants and exponents'!$C$34)/'Constants and exponents'!$C$37)^0.5)*0.7071067812</f>
        <v>11.241197544247353</v>
      </c>
      <c r="L68" s="7">
        <f>(((I68/'Constants and exponents'!$C$34)/'Constants and exponents'!$C$37)/2)</f>
        <v>126.36452222398461</v>
      </c>
      <c r="M68" s="6">
        <f>0.79*((('Constants and exponents'!$C$36*1000000000)/(9.81*'Constants and exponents'!$C$35))^0.33)*(J68^0.6667)</f>
        <v>38.570275189243254</v>
      </c>
      <c r="N68" s="14" t="str">
        <f t="shared" si="8"/>
        <v>False</v>
      </c>
      <c r="P68" s="5"/>
      <c r="Q68" s="49">
        <f t="shared" si="10"/>
        <v>4.7277037188370894E-3</v>
      </c>
      <c r="R68" s="5" t="str">
        <f>IF(Q68&gt;('Constants and exponents'!$F$44/100),"True","False")</f>
        <v>False</v>
      </c>
    </row>
    <row r="69" spans="1:18" s="4" customFormat="1" x14ac:dyDescent="0.15">
      <c r="A69" s="7">
        <f t="shared" si="9"/>
        <v>67</v>
      </c>
      <c r="B69" s="7">
        <f>'Constants and exponents'!$C$29*(I68^'Constants and exponents'!$C$30)*L68</f>
        <v>28.184383398468078</v>
      </c>
      <c r="C69" s="7">
        <f t="shared" si="11"/>
        <v>895.48674631406811</v>
      </c>
      <c r="D69" s="7">
        <f>D68+('Constants and exponents'!$C$3*(B69^'Constants and exponents'!$C$4))</f>
        <v>820.77010550605644</v>
      </c>
      <c r="E69" s="4">
        <f>('Constants and exponents'!$C$19*(J69^'Constants and exponents'!$C$20))-'Constants and exponents'!$C$21</f>
        <v>37.149615953612233</v>
      </c>
      <c r="F69" s="4">
        <f>'Constants and exponents'!$C$25+('Constants and exponents'!$C$26*(LN(J69)))</f>
        <v>21.385114252378486</v>
      </c>
      <c r="G69" s="4" t="str">
        <f t="shared" si="12"/>
        <v>True</v>
      </c>
      <c r="H69" s="4">
        <f t="shared" si="13"/>
        <v>21.385114252378486</v>
      </c>
      <c r="I69" s="4">
        <f>IF(G69="False",'Constants and exponents'!$C$7*(D69^'Constants and exponents'!$C$8),'Constants and exponents'!$C$11*(D69^'Constants and exponents'!$C$12))</f>
        <v>70.538136014489439</v>
      </c>
      <c r="J69" s="4">
        <f>'Constants and exponents'!$C$15*(D69^'Constants and exponents'!$C$16)</f>
        <v>0.37149615953612231</v>
      </c>
      <c r="K69" s="4">
        <f>(((I69/'Constants and exponents'!$C$34)/'Constants and exponents'!$C$37)^0.5)*0.7071067812</f>
        <v>11.359236623987238</v>
      </c>
      <c r="L69" s="7">
        <f>(((I69/'Constants and exponents'!$C$34)/'Constants and exponents'!$C$37)/2)</f>
        <v>129.0322566748234</v>
      </c>
      <c r="M69" s="6">
        <f>0.79*((('Constants and exponents'!$C$36*1000000000)/(9.81*'Constants and exponents'!$C$35))^0.33)*(J69^0.6667)</f>
        <v>38.839825174272725</v>
      </c>
      <c r="N69" s="14" t="str">
        <f t="shared" si="8"/>
        <v>False</v>
      </c>
      <c r="P69" s="5"/>
      <c r="Q69" s="49">
        <f t="shared" si="10"/>
        <v>4.6661827332693763E-3</v>
      </c>
      <c r="R69" s="5" t="str">
        <f>IF(Q69&gt;('Constants and exponents'!$F$44/100),"True","False")</f>
        <v>False</v>
      </c>
    </row>
    <row r="70" spans="1:18" s="4" customFormat="1" x14ac:dyDescent="0.15">
      <c r="A70" s="7">
        <f t="shared" si="9"/>
        <v>68</v>
      </c>
      <c r="B70" s="7">
        <f>'Constants and exponents'!$C$29*(I69^'Constants and exponents'!$C$30)*L69</f>
        <v>28.510101354857181</v>
      </c>
      <c r="C70" s="7">
        <f t="shared" si="11"/>
        <v>919.818342875403</v>
      </c>
      <c r="D70" s="7">
        <f>D69+('Constants and exponents'!$C$3*(B70^'Constants and exponents'!$C$4))</f>
        <v>843.57818658994222</v>
      </c>
      <c r="E70" s="4">
        <f>('Constants and exponents'!$C$19*(J70^'Constants and exponents'!$C$20))-'Constants and exponents'!$C$21</f>
        <v>37.533430288035561</v>
      </c>
      <c r="F70" s="4">
        <f>'Constants and exponents'!$C$25+('Constants and exponents'!$C$26*(LN(J70)))</f>
        <v>21.474537870615116</v>
      </c>
      <c r="G70" s="4" t="str">
        <f t="shared" si="12"/>
        <v>True</v>
      </c>
      <c r="H70" s="4">
        <f t="shared" si="13"/>
        <v>21.474537870615116</v>
      </c>
      <c r="I70" s="4">
        <f>IF(G70="False",'Constants and exponents'!$C$7*(D70^'Constants and exponents'!$C$8),'Constants and exponents'!$C$11*(D70^'Constants and exponents'!$C$12))</f>
        <v>72.003206558437711</v>
      </c>
      <c r="J70" s="4">
        <f>'Constants and exponents'!$C$15*(D70^'Constants and exponents'!$C$16)</f>
        <v>0.37533430288035557</v>
      </c>
      <c r="K70" s="4">
        <f>(((I70/'Constants and exponents'!$C$34)/'Constants and exponents'!$C$37)^0.5)*0.7071067812</f>
        <v>11.476595518082853</v>
      </c>
      <c r="L70" s="7">
        <f>(((I70/'Constants and exponents'!$C$34)/'Constants and exponents'!$C$37)/2)</f>
        <v>131.71224468066785</v>
      </c>
      <c r="M70" s="6">
        <f>0.79*((('Constants and exponents'!$C$36*1000000000)/(9.81*'Constants and exponents'!$C$35))^0.33)*(J70^0.6667)</f>
        <v>39.106897942337689</v>
      </c>
      <c r="N70" s="14" t="str">
        <f t="shared" si="8"/>
        <v>False</v>
      </c>
      <c r="P70" s="5"/>
      <c r="Q70" s="49">
        <f t="shared" si="10"/>
        <v>4.6062896656074099E-3</v>
      </c>
      <c r="R70" s="5" t="str">
        <f>IF(Q70&gt;('Constants and exponents'!$F$44/100),"True","False")</f>
        <v>False</v>
      </c>
    </row>
    <row r="71" spans="1:18" s="4" customFormat="1" x14ac:dyDescent="0.15">
      <c r="A71" s="7">
        <f t="shared" si="9"/>
        <v>69</v>
      </c>
      <c r="B71" s="7">
        <f>'Constants and exponents'!$C$29*(I70^'Constants and exponents'!$C$30)*L70</f>
        <v>28.834278136459062</v>
      </c>
      <c r="C71" s="7">
        <f t="shared" si="11"/>
        <v>944.41567128483894</v>
      </c>
      <c r="D71" s="7">
        <f>D70+('Constants and exponents'!$C$3*(B71^'Constants and exponents'!$C$4))</f>
        <v>866.64560909910949</v>
      </c>
      <c r="E71" s="4">
        <f>('Constants and exponents'!$C$19*(J71^'Constants and exponents'!$C$20))-'Constants and exponents'!$C$21</f>
        <v>37.915067420894594</v>
      </c>
      <c r="F71" s="4">
        <f>'Constants and exponents'!$C$25+('Constants and exponents'!$C$26*(LN(J71)))</f>
        <v>21.562552118061397</v>
      </c>
      <c r="G71" s="4" t="str">
        <f t="shared" si="12"/>
        <v>True</v>
      </c>
      <c r="H71" s="4">
        <f t="shared" si="13"/>
        <v>21.562552118061397</v>
      </c>
      <c r="I71" s="4">
        <f>IF(G71="False",'Constants and exponents'!$C$7*(D71^'Constants and exponents'!$C$8),'Constants and exponents'!$C$11*(D71^'Constants and exponents'!$C$12))</f>
        <v>73.47489725158357</v>
      </c>
      <c r="J71" s="4">
        <f>'Constants and exponents'!$C$15*(D71^'Constants and exponents'!$C$16)</f>
        <v>0.37915067420894594</v>
      </c>
      <c r="K71" s="4">
        <f>(((I71/'Constants and exponents'!$C$34)/'Constants and exponents'!$C$37)^0.5)*0.7071067812</f>
        <v>11.593288689340911</v>
      </c>
      <c r="L71" s="7">
        <f>(((I71/'Constants and exponents'!$C$34)/'Constants and exponents'!$C$37)/2)</f>
        <v>134.40434262928585</v>
      </c>
      <c r="M71" s="6">
        <f>0.79*((('Constants and exponents'!$C$36*1000000000)/(9.81*'Constants and exponents'!$C$35))^0.33)*(J71^0.6667)</f>
        <v>39.371554690393225</v>
      </c>
      <c r="N71" s="14" t="str">
        <f t="shared" si="8"/>
        <v>False</v>
      </c>
      <c r="P71" s="5"/>
      <c r="Q71" s="49">
        <f t="shared" si="10"/>
        <v>4.5479602517633751E-3</v>
      </c>
      <c r="R71" s="5" t="str">
        <f>IF(Q71&gt;('Constants and exponents'!$F$44/100),"True","False")</f>
        <v>False</v>
      </c>
    </row>
    <row r="72" spans="1:18" s="1" customFormat="1" x14ac:dyDescent="0.15">
      <c r="A72" s="17">
        <f t="shared" si="9"/>
        <v>70</v>
      </c>
      <c r="B72" s="7">
        <f>'Constants and exponents'!$C$29*(I71^'Constants and exponents'!$C$30)*L71</f>
        <v>29.156944877716061</v>
      </c>
      <c r="C72" s="17">
        <f t="shared" si="11"/>
        <v>969.27745122840918</v>
      </c>
      <c r="D72" s="17">
        <f>D71+('Constants and exponents'!$C$3*(B72^'Constants and exponents'!$C$4))</f>
        <v>889.97116500128232</v>
      </c>
      <c r="E72" s="1">
        <f>('Constants and exponents'!$C$19*(J72^'Constants and exponents'!$C$20))-'Constants and exponents'!$C$21</f>
        <v>38.294572938606926</v>
      </c>
      <c r="F72" s="1">
        <f>'Constants and exponents'!$C$25+('Constants and exponents'!$C$26*(LN(J72)))</f>
        <v>21.649200612418429</v>
      </c>
      <c r="G72" s="1" t="str">
        <f t="shared" si="12"/>
        <v>True</v>
      </c>
      <c r="H72" s="1">
        <f t="shared" si="13"/>
        <v>21.649200612418429</v>
      </c>
      <c r="I72" s="1">
        <f>IF(G72="False",'Constants and exponents'!$C$7*(D72^'Constants and exponents'!$C$8),'Constants and exponents'!$C$11*(D72^'Constants and exponents'!$C$12))</f>
        <v>74.953131734792393</v>
      </c>
      <c r="J72" s="1">
        <f>'Constants and exponents'!$C$15*(D72^'Constants and exponents'!$C$16)</f>
        <v>0.38294572938606924</v>
      </c>
      <c r="K72" s="1">
        <f>(((I72/'Constants and exponents'!$C$34)/'Constants and exponents'!$C$37)^0.5)*0.7071067812</f>
        <v>11.709330076718533</v>
      </c>
      <c r="L72" s="17">
        <f>(((I72/'Constants and exponents'!$C$34)/'Constants and exponents'!$C$37)/2)</f>
        <v>137.10841084032839</v>
      </c>
      <c r="M72" s="18">
        <f>0.79*((('Constants and exponents'!$C$36*1000000000)/(9.81*'Constants and exponents'!$C$35))^0.33)*(J72^0.6667)</f>
        <v>39.633854186815356</v>
      </c>
      <c r="N72" s="17" t="str">
        <f t="shared" si="8"/>
        <v>False</v>
      </c>
      <c r="P72" s="5"/>
      <c r="Q72" s="49">
        <f t="shared" si="10"/>
        <v>4.4911335622401629E-3</v>
      </c>
      <c r="R72" s="5" t="str">
        <f>IF(Q72&gt;('Constants and exponents'!$F$44/100),"True","False")</f>
        <v>False</v>
      </c>
    </row>
    <row r="73" spans="1:18" s="4" customFormat="1" x14ac:dyDescent="0.15">
      <c r="A73" s="7">
        <f t="shared" si="9"/>
        <v>71</v>
      </c>
      <c r="B73" s="7">
        <f>'Constants and exponents'!$C$29*(I72^'Constants and exponents'!$C$30)*L72</f>
        <v>29.478131619487801</v>
      </c>
      <c r="C73" s="7">
        <f t="shared" si="11"/>
        <v>994.40242835556251</v>
      </c>
      <c r="D73" s="7">
        <f>D72+('Constants and exponents'!$C$3*(B73^'Constants and exponents'!$C$4))</f>
        <v>913.55367029687261</v>
      </c>
      <c r="E73" s="4">
        <f>('Constants and exponents'!$C$19*(J73^'Constants and exponents'!$C$20))-'Constants and exponents'!$C$21</f>
        <v>38.671990801213646</v>
      </c>
      <c r="F73" s="4">
        <f>'Constants and exponents'!$C$25+('Constants and exponents'!$C$26*(LN(J73)))</f>
        <v>21.734524980923677</v>
      </c>
      <c r="G73" s="4" t="str">
        <f t="shared" si="12"/>
        <v>True</v>
      </c>
      <c r="H73" s="4">
        <f t="shared" si="13"/>
        <v>21.734524980923677</v>
      </c>
      <c r="I73" s="4">
        <f>IF(G73="False",'Constants and exponents'!$C$7*(D73^'Constants and exponents'!$C$8),'Constants and exponents'!$C$11*(D73^'Constants and exponents'!$C$12))</f>
        <v>76.437835707045608</v>
      </c>
      <c r="J73" s="4">
        <f>'Constants and exponents'!$C$15*(D73^'Constants and exponents'!$C$16)</f>
        <v>0.38671990801213646</v>
      </c>
      <c r="K73" s="4">
        <f>(((I73/'Constants and exponents'!$C$34)/'Constants and exponents'!$C$37)^0.5)*0.7071067812</f>
        <v>11.824733121875788</v>
      </c>
      <c r="L73" s="7">
        <f>(((I73/'Constants and exponents'!$C$34)/'Constants and exponents'!$C$37)/2)</f>
        <v>139.82431339826607</v>
      </c>
      <c r="M73" s="6">
        <f>0.79*((('Constants and exponents'!$C$36*1000000000)/(9.81*'Constants and exponents'!$C$35))^0.33)*(J73^0.6667)</f>
        <v>39.89385290297939</v>
      </c>
      <c r="N73" s="14" t="str">
        <f t="shared" si="8"/>
        <v>False</v>
      </c>
      <c r="P73" s="5"/>
      <c r="Q73" s="49">
        <f t="shared" si="10"/>
        <v>4.4357517900862802E-3</v>
      </c>
      <c r="R73" s="5" t="str">
        <f>IF(Q73&gt;('Constants and exponents'!$F$44/100),"True","False")</f>
        <v>False</v>
      </c>
    </row>
    <row r="74" spans="1:18" s="4" customFormat="1" x14ac:dyDescent="0.15">
      <c r="A74" s="7">
        <f t="shared" si="9"/>
        <v>72</v>
      </c>
      <c r="B74" s="7">
        <f>'Constants and exponents'!$C$29*(I73^'Constants and exponents'!$C$30)*L73</f>
        <v>29.797867363243309</v>
      </c>
      <c r="C74" s="7">
        <f t="shared" si="11"/>
        <v>1019.7893733671615</v>
      </c>
      <c r="D74" s="7">
        <f>D73+('Constants and exponents'!$C$3*(B74^'Constants and exponents'!$C$4))</f>
        <v>937.39196418746724</v>
      </c>
      <c r="E74" s="4">
        <f>('Constants and exponents'!$C$19*(J74^'Constants and exponents'!$C$20))-'Constants and exponents'!$C$21</f>
        <v>39.047363423599215</v>
      </c>
      <c r="F74" s="4">
        <f>'Constants and exponents'!$C$25+('Constants and exponents'!$C$26*(LN(J74)))</f>
        <v>21.818564979492034</v>
      </c>
      <c r="G74" s="4" t="str">
        <f t="shared" si="12"/>
        <v>True</v>
      </c>
      <c r="H74" s="4">
        <f t="shared" si="13"/>
        <v>21.818564979492034</v>
      </c>
      <c r="I74" s="4">
        <f>IF(G74="False",'Constants and exponents'!$C$7*(D74^'Constants and exponents'!$C$8),'Constants and exponents'!$C$11*(D74^'Constants and exponents'!$C$12))</f>
        <v>77.928936839325715</v>
      </c>
      <c r="J74" s="4">
        <f>'Constants and exponents'!$C$15*(D74^'Constants and exponents'!$C$16)</f>
        <v>0.39047363423599213</v>
      </c>
      <c r="K74" s="4">
        <f>(((I74/'Constants and exponents'!$C$34)/'Constants and exponents'!$C$37)^0.5)*0.7071067812</f>
        <v>11.939510794010232</v>
      </c>
      <c r="L74" s="7">
        <f>(((I74/'Constants and exponents'!$C$34)/'Constants and exponents'!$C$37)/2)</f>
        <v>142.55191799486281</v>
      </c>
      <c r="M74" s="6">
        <f>0.79*((('Constants and exponents'!$C$36*1000000000)/(9.81*'Constants and exponents'!$C$35))^0.33)*(J74^0.6667)</f>
        <v>40.151605135861928</v>
      </c>
      <c r="N74" s="14" t="str">
        <f t="shared" si="8"/>
        <v>False</v>
      </c>
      <c r="P74" s="5"/>
      <c r="Q74" s="49">
        <f t="shared" si="10"/>
        <v>4.3817600546418988E-3</v>
      </c>
      <c r="R74" s="5" t="str">
        <f>IF(Q74&gt;('Constants and exponents'!$F$44/100),"True","False")</f>
        <v>False</v>
      </c>
    </row>
    <row r="75" spans="1:18" s="4" customFormat="1" x14ac:dyDescent="0.15">
      <c r="A75" s="7">
        <f t="shared" si="9"/>
        <v>73</v>
      </c>
      <c r="B75" s="7">
        <f>'Constants and exponents'!$C$29*(I74^'Constants and exponents'!$C$30)*L74</f>
        <v>30.116180121810203</v>
      </c>
      <c r="C75" s="7">
        <f t="shared" si="11"/>
        <v>1045.4370811486033</v>
      </c>
      <c r="D75" s="7">
        <f>D74+('Constants and exponents'!$C$3*(B75^'Constants and exponents'!$C$4))</f>
        <v>961.48490828491538</v>
      </c>
      <c r="E75" s="4">
        <f>('Constants and exponents'!$C$19*(J75^'Constants and exponents'!$C$20))-'Constants and exponents'!$C$21</f>
        <v>39.420731751533182</v>
      </c>
      <c r="F75" s="4">
        <f>'Constants and exponents'!$C$25+('Constants and exponents'!$C$26*(LN(J75)))</f>
        <v>21.901358603083231</v>
      </c>
      <c r="G75" s="4" t="str">
        <f t="shared" si="12"/>
        <v>True</v>
      </c>
      <c r="H75" s="4">
        <f t="shared" si="13"/>
        <v>21.901358603083231</v>
      </c>
      <c r="I75" s="4">
        <f>IF(G75="False",'Constants and exponents'!$C$7*(D75^'Constants and exponents'!$C$8),'Constants and exponents'!$C$11*(D75^'Constants and exponents'!$C$12))</f>
        <v>79.426364693346102</v>
      </c>
      <c r="J75" s="4">
        <f>'Constants and exponents'!$C$15*(D75^'Constants and exponents'!$C$16)</f>
        <v>0.39420731751533183</v>
      </c>
      <c r="K75" s="4">
        <f>(((I75/'Constants and exponents'!$C$34)/'Constants and exponents'!$C$37)^0.5)*0.7071067812</f>
        <v>12.053675613108235</v>
      </c>
      <c r="L75" s="7">
        <f>(((I75/'Constants and exponents'!$C$34)/'Constants and exponents'!$C$37)/2)</f>
        <v>145.29109578051197</v>
      </c>
      <c r="M75" s="6">
        <f>0.79*((('Constants and exponents'!$C$36*1000000000)/(9.81*'Constants and exponents'!$C$35))^0.33)*(J75^0.6667)</f>
        <v>40.40716312240145</v>
      </c>
      <c r="N75" s="14" t="str">
        <f t="shared" si="8"/>
        <v>False</v>
      </c>
      <c r="P75" s="5"/>
      <c r="Q75" s="49">
        <f t="shared" si="10"/>
        <v>4.3291062197348459E-3</v>
      </c>
      <c r="R75" s="5" t="str">
        <f>IF(Q75&gt;('Constants and exponents'!$F$44/100),"True","False")</f>
        <v>False</v>
      </c>
    </row>
    <row r="76" spans="1:18" s="4" customFormat="1" x14ac:dyDescent="0.15">
      <c r="A76" s="7">
        <f t="shared" si="9"/>
        <v>74</v>
      </c>
      <c r="B76" s="7">
        <f>'Constants and exponents'!$C$29*(I75^'Constants and exponents'!$C$30)*L75</f>
        <v>30.433096966946977</v>
      </c>
      <c r="C76" s="7">
        <f t="shared" si="11"/>
        <v>1071.3443699452084</v>
      </c>
      <c r="D76" s="7">
        <f>D75+('Constants and exponents'!$C$3*(B76^'Constants and exponents'!$C$4))</f>
        <v>985.83138585847291</v>
      </c>
      <c r="E76" s="4">
        <f>('Constants and exponents'!$C$19*(J76^'Constants and exponents'!$C$20))-'Constants and exponents'!$C$21</f>
        <v>39.792135332932922</v>
      </c>
      <c r="F76" s="4">
        <f>'Constants and exponents'!$C$25+('Constants and exponents'!$C$26*(LN(J76)))</f>
        <v>21.982942188058953</v>
      </c>
      <c r="G76" s="4" t="str">
        <f t="shared" si="12"/>
        <v>True</v>
      </c>
      <c r="H76" s="4">
        <f t="shared" si="13"/>
        <v>21.982942188058953</v>
      </c>
      <c r="I76" s="4">
        <f>IF(G76="False",'Constants and exponents'!$C$7*(D76^'Constants and exponents'!$C$8),'Constants and exponents'!$C$11*(D76^'Constants and exponents'!$C$12))</f>
        <v>80.930050644782938</v>
      </c>
      <c r="J76" s="4">
        <f>'Constants and exponents'!$C$15*(D76^'Constants and exponents'!$C$16)</f>
        <v>0.39792135332932921</v>
      </c>
      <c r="K76" s="4">
        <f>(((I76/'Constants and exponents'!$C$34)/'Constants and exponents'!$C$37)^0.5)*0.7071067812</f>
        <v>12.167239671734947</v>
      </c>
      <c r="L76" s="7">
        <f>(((I76/'Constants and exponents'!$C$34)/'Constants and exponents'!$C$37)/2)</f>
        <v>148.04172122380788</v>
      </c>
      <c r="M76" s="6">
        <f>0.79*((('Constants and exponents'!$C$36*1000000000)/(9.81*'Constants and exponents'!$C$35))^0.33)*(J76^0.6667)</f>
        <v>40.660577146281796</v>
      </c>
      <c r="N76" s="14" t="str">
        <f t="shared" si="8"/>
        <v>False</v>
      </c>
      <c r="P76" s="5"/>
      <c r="Q76" s="49">
        <f t="shared" si="10"/>
        <v>4.2777407251291897E-3</v>
      </c>
      <c r="R76" s="5" t="str">
        <f>IF(Q76&gt;('Constants and exponents'!$F$44/100),"True","False")</f>
        <v>False</v>
      </c>
    </row>
    <row r="77" spans="1:18" s="1" customFormat="1" x14ac:dyDescent="0.15">
      <c r="A77" s="17">
        <f t="shared" si="9"/>
        <v>75</v>
      </c>
      <c r="B77" s="7">
        <f>'Constants and exponents'!$C$29*(I76^'Constants and exponents'!$C$30)*L76</f>
        <v>30.748644073979108</v>
      </c>
      <c r="C77" s="17">
        <f t="shared" si="11"/>
        <v>1097.5100805772349</v>
      </c>
      <c r="D77" s="17">
        <f>D76+('Constants and exponents'!$C$3*(B77^'Constants and exponents'!$C$4))</f>
        <v>1010.4303011176562</v>
      </c>
      <c r="E77" s="1">
        <f>('Constants and exponents'!$C$19*(J77^'Constants and exponents'!$C$20))-'Constants and exponents'!$C$21</f>
        <v>40.161612384711134</v>
      </c>
      <c r="F77" s="1">
        <f>'Constants and exponents'!$C$25+('Constants and exponents'!$C$26*(LN(J77)))</f>
        <v>22.063350507216775</v>
      </c>
      <c r="G77" s="1" t="str">
        <f t="shared" si="12"/>
        <v>True</v>
      </c>
      <c r="H77" s="1">
        <f t="shared" si="13"/>
        <v>22.063350507216775</v>
      </c>
      <c r="I77" s="1">
        <f>IF(G77="False",'Constants and exponents'!$C$7*(D77^'Constants and exponents'!$C$8),'Constants and exponents'!$C$11*(D77^'Constants and exponents'!$C$12))</f>
        <v>82.439927810700041</v>
      </c>
      <c r="J77" s="1">
        <f>'Constants and exponents'!$C$15*(D77^'Constants and exponents'!$C$16)</f>
        <v>0.40161612384711137</v>
      </c>
      <c r="K77" s="1">
        <f>(((I77/'Constants and exponents'!$C$34)/'Constants and exponents'!$C$37)^0.5)*0.7071067812</f>
        <v>12.280214655474287</v>
      </c>
      <c r="L77" s="17">
        <f>(((I77/'Constants and exponents'!$C$34)/'Constants and exponents'!$C$37)/2)</f>
        <v>150.80367197878746</v>
      </c>
      <c r="M77" s="18">
        <f>0.79*((('Constants and exponents'!$C$36*1000000000)/(9.81*'Constants and exponents'!$C$35))^0.33)*(J77^0.6667)</f>
        <v>40.911895637741402</v>
      </c>
      <c r="N77" s="17" t="str">
        <f t="shared" si="8"/>
        <v>False</v>
      </c>
      <c r="P77" s="5"/>
      <c r="Q77" s="49">
        <f t="shared" si="10"/>
        <v>4.2276164301273183E-3</v>
      </c>
      <c r="R77" s="5" t="str">
        <f>IF(Q77&gt;('Constants and exponents'!$F$44/100),"True","False")</f>
        <v>False</v>
      </c>
    </row>
    <row r="78" spans="1:18" s="4" customFormat="1" x14ac:dyDescent="0.15">
      <c r="A78" s="7">
        <f t="shared" si="9"/>
        <v>76</v>
      </c>
      <c r="B78" s="7">
        <f>'Constants and exponents'!$C$29*(I77^'Constants and exponents'!$C$30)*L77</f>
        <v>31.062846763719453</v>
      </c>
      <c r="C78" s="7">
        <f t="shared" si="11"/>
        <v>1123.9330756920758</v>
      </c>
      <c r="D78" s="7">
        <f>D77+('Constants and exponents'!$C$3*(B78^'Constants and exponents'!$C$4))</f>
        <v>1035.2805785286318</v>
      </c>
      <c r="E78" s="4">
        <f>('Constants and exponents'!$C$19*(J78^'Constants and exponents'!$C$20))-'Constants and exponents'!$C$21</f>
        <v>40.529199855539218</v>
      </c>
      <c r="F78" s="4">
        <f>'Constants and exponents'!$C$25+('Constants and exponents'!$C$26*(LN(J78)))</f>
        <v>22.142616858120316</v>
      </c>
      <c r="G78" s="4" t="str">
        <f t="shared" si="12"/>
        <v>True</v>
      </c>
      <c r="H78" s="4">
        <f t="shared" si="13"/>
        <v>22.142616858120316</v>
      </c>
      <c r="I78" s="4">
        <f>IF(G78="False",'Constants and exponents'!$C$7*(D78^'Constants and exponents'!$C$8),'Constants and exponents'!$C$11*(D78^'Constants and exponents'!$C$12))</f>
        <v>83.955930980878946</v>
      </c>
      <c r="J78" s="4">
        <f>'Constants and exponents'!$C$15*(D78^'Constants and exponents'!$C$16)</f>
        <v>0.40529199855539216</v>
      </c>
      <c r="K78" s="4">
        <f>(((I78/'Constants and exponents'!$C$34)/'Constants and exponents'!$C$37)^0.5)*0.7071067812</f>
        <v>12.392611862120056</v>
      </c>
      <c r="L78" s="7">
        <f>(((I78/'Constants and exponents'!$C$34)/'Constants and exponents'!$C$37)/2)</f>
        <v>153.57682875931522</v>
      </c>
      <c r="M78" s="6">
        <f>0.79*((('Constants and exponents'!$C$36*1000000000)/(9.81*'Constants and exponents'!$C$35))^0.33)*(J78^0.6667)</f>
        <v>41.161165266954612</v>
      </c>
      <c r="N78" s="14" t="str">
        <f t="shared" si="8"/>
        <v>False</v>
      </c>
      <c r="P78" s="5"/>
      <c r="Q78" s="49">
        <f t="shared" si="10"/>
        <v>4.1786884683263047E-3</v>
      </c>
      <c r="R78" s="5" t="str">
        <f>IF(Q78&gt;('Constants and exponents'!$F$44/100),"True","False")</f>
        <v>False</v>
      </c>
    </row>
    <row r="79" spans="1:18" s="4" customFormat="1" x14ac:dyDescent="0.15">
      <c r="A79" s="7">
        <f t="shared" si="9"/>
        <v>77</v>
      </c>
      <c r="B79" s="7">
        <f>'Constants and exponents'!$C$29*(I78^'Constants and exponents'!$C$30)*L78</f>
        <v>31.375729541872847</v>
      </c>
      <c r="C79" s="7">
        <f t="shared" si="11"/>
        <v>1150.6122390513838</v>
      </c>
      <c r="D79" s="7">
        <f>D78+('Constants and exponents'!$C$3*(B79^'Constants and exponents'!$C$4))</f>
        <v>1060.3811621621301</v>
      </c>
      <c r="E79" s="4">
        <f>('Constants and exponents'!$C$19*(J79^'Constants and exponents'!$C$20))-'Constants and exponents'!$C$21</f>
        <v>40.894933484828655</v>
      </c>
      <c r="F79" s="4">
        <f>'Constants and exponents'!$C$25+('Constants and exponents'!$C$26*(LN(J79)))</f>
        <v>22.220773145284642</v>
      </c>
      <c r="G79" s="4" t="str">
        <f t="shared" si="12"/>
        <v>True</v>
      </c>
      <c r="H79" s="4">
        <f t="shared" si="13"/>
        <v>22.220773145284642</v>
      </c>
      <c r="I79" s="4">
        <f>IF(G79="False",'Constants and exponents'!$C$7*(D79^'Constants and exponents'!$C$8),'Constants and exponents'!$C$11*(D79^'Constants and exponents'!$C$12))</f>
        <v>85.477996552793087</v>
      </c>
      <c r="J79" s="4">
        <f>'Constants and exponents'!$C$15*(D79^'Constants and exponents'!$C$16)</f>
        <v>0.40894933484828655</v>
      </c>
      <c r="K79" s="4">
        <f>(((I79/'Constants and exponents'!$C$34)/'Constants and exponents'!$C$37)^0.5)*0.7071067812</f>
        <v>12.504442219710723</v>
      </c>
      <c r="L79" s="7">
        <f>(((I79/'Constants and exponents'!$C$34)/'Constants and exponents'!$C$37)/2)</f>
        <v>156.36107522013458</v>
      </c>
      <c r="M79" s="6">
        <f>0.79*((('Constants and exponents'!$C$36*1000000000)/(9.81*'Constants and exponents'!$C$35))^0.33)*(J79^0.6667)</f>
        <v>41.408431031482408</v>
      </c>
      <c r="N79" s="14" t="str">
        <f t="shared" si="8"/>
        <v>False</v>
      </c>
      <c r="P79" s="5"/>
      <c r="Q79" s="49">
        <f t="shared" si="10"/>
        <v>4.1309141126287261E-3</v>
      </c>
      <c r="R79" s="5" t="str">
        <f>IF(Q79&gt;('Constants and exponents'!$F$44/100),"True","False")</f>
        <v>False</v>
      </c>
    </row>
    <row r="80" spans="1:18" s="4" customFormat="1" x14ac:dyDescent="0.15">
      <c r="A80" s="7">
        <f t="shared" si="9"/>
        <v>78</v>
      </c>
      <c r="B80" s="7">
        <f>'Constants and exponents'!$C$29*(I79^'Constants and exponents'!$C$30)*L79</f>
        <v>31.687316136109008</v>
      </c>
      <c r="C80" s="7">
        <f t="shared" si="11"/>
        <v>1177.5464748510321</v>
      </c>
      <c r="D80" s="7">
        <f>D79+('Constants and exponents'!$C$3*(B80^'Constants and exponents'!$C$4))</f>
        <v>1085.7310150710173</v>
      </c>
      <c r="E80" s="4">
        <f>('Constants and exponents'!$C$19*(J80^'Constants and exponents'!$C$20))-'Constants and exponents'!$C$21</f>
        <v>41.258847858206693</v>
      </c>
      <c r="F80" s="4">
        <f>'Constants and exponents'!$C$25+('Constants and exponents'!$C$26*(LN(J80)))</f>
        <v>22.297849956722573</v>
      </c>
      <c r="G80" s="4" t="str">
        <f t="shared" si="12"/>
        <v>True</v>
      </c>
      <c r="H80" s="4">
        <f t="shared" si="13"/>
        <v>22.297849956722573</v>
      </c>
      <c r="I80" s="4">
        <f>IF(G80="False",'Constants and exponents'!$C$7*(D80^'Constants and exponents'!$C$8),'Constants and exponents'!$C$11*(D80^'Constants and exponents'!$C$12))</f>
        <v>87.006062469984172</v>
      </c>
      <c r="J80" s="4">
        <f>'Constants and exponents'!$C$15*(D80^'Constants and exponents'!$C$16)</f>
        <v>0.41258847858206693</v>
      </c>
      <c r="K80" s="4">
        <f>(((I80/'Constants and exponents'!$C$34)/'Constants and exponents'!$C$37)^0.5)*0.7071067812</f>
        <v>12.615716303492176</v>
      </c>
      <c r="L80" s="7">
        <f>(((I80/'Constants and exponents'!$C$34)/'Constants and exponents'!$C$37)/2)</f>
        <v>159.1562978441425</v>
      </c>
      <c r="M80" s="6">
        <f>0.79*((('Constants and exponents'!$C$36*1000000000)/(9.81*'Constants and exponents'!$C$35))^0.33)*(J80^0.6667)</f>
        <v>41.653736338244812</v>
      </c>
      <c r="N80" s="14" t="str">
        <f t="shared" si="8"/>
        <v>False</v>
      </c>
      <c r="P80" s="5"/>
      <c r="Q80" s="49">
        <f t="shared" si="10"/>
        <v>4.0842526496790814E-3</v>
      </c>
      <c r="R80" s="5" t="str">
        <f>IF(Q80&gt;('Constants and exponents'!$F$44/100),"True","False")</f>
        <v>False</v>
      </c>
    </row>
    <row r="81" spans="1:18" s="4" customFormat="1" x14ac:dyDescent="0.15">
      <c r="A81" s="7">
        <f t="shared" si="9"/>
        <v>79</v>
      </c>
      <c r="B81" s="7">
        <f>'Constants and exponents'!$C$29*(I80^'Constants and exponents'!$C$30)*L80</f>
        <v>31.997629530970833</v>
      </c>
      <c r="C81" s="7">
        <f t="shared" si="11"/>
        <v>1204.7347070719725</v>
      </c>
      <c r="D81" s="7">
        <f>D80+('Constants and exponents'!$C$3*(B81^'Constants and exponents'!$C$4))</f>
        <v>1111.329118695794</v>
      </c>
      <c r="E81" s="4">
        <f>('Constants and exponents'!$C$19*(J81^'Constants and exponents'!$C$20))-'Constants and exponents'!$C$21</f>
        <v>41.620976459738195</v>
      </c>
      <c r="F81" s="4">
        <f>'Constants and exponents'!$C$25+('Constants and exponents'!$C$26*(LN(J81)))</f>
        <v>22.373876635309351</v>
      </c>
      <c r="G81" s="4" t="str">
        <f t="shared" si="12"/>
        <v>True</v>
      </c>
      <c r="H81" s="4">
        <f t="shared" si="13"/>
        <v>22.373876635309351</v>
      </c>
      <c r="I81" s="4">
        <f>IF(G81="False",'Constants and exponents'!$C$7*(D81^'Constants and exponents'!$C$8),'Constants and exponents'!$C$11*(D81^'Constants and exponents'!$C$12))</f>
        <v>88.540068163617491</v>
      </c>
      <c r="J81" s="4">
        <f>'Constants and exponents'!$C$15*(D81^'Constants and exponents'!$C$16)</f>
        <v>0.41620976459738196</v>
      </c>
      <c r="K81" s="4">
        <f>(((I81/'Constants and exponents'!$C$34)/'Constants and exponents'!$C$37)^0.5)*0.7071067812</f>
        <v>12.726444351885636</v>
      </c>
      <c r="L81" s="7">
        <f>(((I81/'Constants and exponents'!$C$34)/'Constants and exponents'!$C$37)/2)</f>
        <v>161.96238583547921</v>
      </c>
      <c r="M81" s="6">
        <f>0.79*((('Constants and exponents'!$C$36*1000000000)/(9.81*'Constants and exponents'!$C$35))^0.33)*(J81^0.6667)</f>
        <v>41.897123080426773</v>
      </c>
      <c r="N81" s="14" t="str">
        <f t="shared" si="8"/>
        <v>False</v>
      </c>
      <c r="P81" s="5"/>
      <c r="Q81" s="49">
        <f t="shared" si="10"/>
        <v>4.0386652629825414E-3</v>
      </c>
      <c r="R81" s="5" t="str">
        <f>IF(Q81&gt;('Constants and exponents'!$F$44/100),"True","False")</f>
        <v>False</v>
      </c>
    </row>
    <row r="82" spans="1:18" s="1" customFormat="1" x14ac:dyDescent="0.15">
      <c r="A82" s="17">
        <f t="shared" si="9"/>
        <v>80</v>
      </c>
      <c r="B82" s="7">
        <f>'Constants and exponents'!$C$29*(I81^'Constants and exponents'!$C$30)*L81</f>
        <v>32.306692000771505</v>
      </c>
      <c r="C82" s="17">
        <f t="shared" si="11"/>
        <v>1232.175878860183</v>
      </c>
      <c r="D82" s="17">
        <f>D81+('Constants and exponents'!$C$3*(B82^'Constants and exponents'!$C$4))</f>
        <v>1137.1744722964113</v>
      </c>
      <c r="E82" s="1">
        <f>('Constants and exponents'!$C$19*(J82^'Constants and exponents'!$C$20))-'Constants and exponents'!$C$21</f>
        <v>41.981351721125634</v>
      </c>
      <c r="F82" s="1">
        <f>'Constants and exponents'!$C$25+('Constants and exponents'!$C$26*(LN(J82)))</f>
        <v>22.448881345380901</v>
      </c>
      <c r="G82" s="1" t="str">
        <f t="shared" si="12"/>
        <v>True</v>
      </c>
      <c r="H82" s="1">
        <f t="shared" si="13"/>
        <v>22.448881345380901</v>
      </c>
      <c r="I82" s="1">
        <f>IF(G82="False",'Constants and exponents'!$C$7*(D82^'Constants and exponents'!$C$8),'Constants and exponents'!$C$11*(D82^'Constants and exponents'!$C$12))</f>
        <v>90.079954497012736</v>
      </c>
      <c r="J82" s="1">
        <f>'Constants and exponents'!$C$15*(D82^'Constants and exponents'!$C$16)</f>
        <v>0.41981351721125632</v>
      </c>
      <c r="K82" s="1">
        <f>(((I82/'Constants and exponents'!$C$34)/'Constants and exponents'!$C$37)^0.5)*0.7071067812</f>
        <v>12.836636281531495</v>
      </c>
      <c r="L82" s="17">
        <f>(((I82/'Constants and exponents'!$C$34)/'Constants and exponents'!$C$37)/2)</f>
        <v>164.77923101806095</v>
      </c>
      <c r="M82" s="18">
        <f>0.79*((('Constants and exponents'!$C$36*1000000000)/(9.81*'Constants and exponents'!$C$35))^0.33)*(J82^0.6667)</f>
        <v>42.138631709694415</v>
      </c>
      <c r="N82" s="17" t="str">
        <f t="shared" si="8"/>
        <v>False</v>
      </c>
      <c r="P82" s="5"/>
      <c r="Q82" s="49">
        <f t="shared" si="10"/>
        <v>3.9941149240087072E-3</v>
      </c>
      <c r="R82" s="5" t="str">
        <f>IF(Q82&gt;('Constants and exponents'!$F$44/100),"True","False")</f>
        <v>False</v>
      </c>
    </row>
    <row r="83" spans="1:18" s="4" customFormat="1" x14ac:dyDescent="0.15">
      <c r="A83" s="7">
        <f t="shared" si="9"/>
        <v>81</v>
      </c>
      <c r="B83" s="7">
        <f>'Constants and exponents'!$C$29*(I82^'Constants and exponents'!$C$30)*L82</f>
        <v>32.61452514062168</v>
      </c>
      <c r="C83" s="7">
        <f t="shared" si="11"/>
        <v>1259.8689519340458</v>
      </c>
      <c r="D83" s="7">
        <f>D82+('Constants and exponents'!$C$3*(B83^'Constants and exponents'!$C$4))</f>
        <v>1163.2660924089087</v>
      </c>
      <c r="E83" s="4">
        <f>('Constants and exponents'!$C$19*(J83^'Constants and exponents'!$C$20))-'Constants and exponents'!$C$21</f>
        <v>42.340005068098385</v>
      </c>
      <c r="F83" s="4">
        <f>'Constants and exponents'!$C$25+('Constants and exponents'!$C$26*(LN(J83)))</f>
        <v>22.522891134942078</v>
      </c>
      <c r="G83" s="4" t="str">
        <f t="shared" si="12"/>
        <v>True</v>
      </c>
      <c r="H83" s="4">
        <f t="shared" si="13"/>
        <v>22.522891134942078</v>
      </c>
      <c r="I83" s="4">
        <f>IF(G83="False",'Constants and exponents'!$C$7*(D83^'Constants and exponents'!$C$8),'Constants and exponents'!$C$11*(D83^'Constants and exponents'!$C$12))</f>
        <v>91.625663712959422</v>
      </c>
      <c r="J83" s="4">
        <f>'Constants and exponents'!$C$15*(D83^'Constants and exponents'!$C$16)</f>
        <v>0.42340005068098385</v>
      </c>
      <c r="K83" s="4">
        <f>(((I83/'Constants and exponents'!$C$34)/'Constants and exponents'!$C$37)^0.5)*0.7071067812</f>
        <v>12.946301701473809</v>
      </c>
      <c r="L83" s="7">
        <f>(((I83/'Constants and exponents'!$C$34)/'Constants and exponents'!$C$37)/2)</f>
        <v>167.60672773920629</v>
      </c>
      <c r="M83" s="6">
        <f>0.79*((('Constants and exponents'!$C$36*1000000000)/(9.81*'Constants and exponents'!$C$35))^0.33)*(J83^0.6667)</f>
        <v>42.378301304064379</v>
      </c>
      <c r="N83" s="14" t="str">
        <f t="shared" si="8"/>
        <v>False</v>
      </c>
      <c r="P83" s="5"/>
      <c r="Q83" s="49">
        <f t="shared" si="10"/>
        <v>3.9505662906741167E-3</v>
      </c>
      <c r="R83" s="5" t="str">
        <f>IF(Q83&gt;('Constants and exponents'!$F$44/100),"True","False")</f>
        <v>False</v>
      </c>
    </row>
    <row r="84" spans="1:18" s="4" customFormat="1" x14ac:dyDescent="0.15">
      <c r="A84" s="7">
        <f t="shared" si="9"/>
        <v>82</v>
      </c>
      <c r="B84" s="7">
        <f>'Constants and exponents'!$C$29*(I83^'Constants and exponents'!$C$30)*L83</f>
        <v>32.921149895715303</v>
      </c>
      <c r="C84" s="7">
        <f t="shared" si="11"/>
        <v>1287.8129060175834</v>
      </c>
      <c r="D84" s="7">
        <f>D83+('Constants and exponents'!$C$3*(B84^'Constants and exponents'!$C$4))</f>
        <v>1189.6030123254809</v>
      </c>
      <c r="E84" s="4">
        <f>('Constants and exponents'!$C$19*(J84^'Constants and exponents'!$C$20))-'Constants and exponents'!$C$21</f>
        <v>42.696966964186764</v>
      </c>
      <c r="F84" s="4">
        <f>'Constants and exponents'!$C$25+('Constants and exponents'!$C$26*(LN(J84)))</f>
        <v>22.595931993827691</v>
      </c>
      <c r="G84" s="4" t="str">
        <f t="shared" si="12"/>
        <v>True</v>
      </c>
      <c r="H84" s="4">
        <f t="shared" si="13"/>
        <v>22.595931993827691</v>
      </c>
      <c r="I84" s="4">
        <f>IF(G84="False",'Constants and exponents'!$C$7*(D84^'Constants and exponents'!$C$8),'Constants and exponents'!$C$11*(D84^'Constants and exponents'!$C$12))</f>
        <v>93.177139383643762</v>
      </c>
      <c r="J84" s="4">
        <f>'Constants and exponents'!$C$15*(D84^'Constants and exponents'!$C$16)</f>
        <v>0.42696966964186767</v>
      </c>
      <c r="K84" s="4">
        <f>(((I84/'Constants and exponents'!$C$34)/'Constants and exponents'!$C$37)^0.5)*0.7071067812</f>
        <v>13.05544992654505</v>
      </c>
      <c r="L84" s="7">
        <f>(((I84/'Constants and exponents'!$C$34)/'Constants and exponents'!$C$37)/2)</f>
        <v>170.44477277803981</v>
      </c>
      <c r="M84" s="6">
        <f>0.79*((('Constants and exponents'!$C$36*1000000000)/(9.81*'Constants and exponents'!$C$35))^0.33)*(J84^0.6667)</f>
        <v>42.616169631741649</v>
      </c>
      <c r="N84" s="14" t="str">
        <f t="shared" si="8"/>
        <v>False</v>
      </c>
      <c r="P84" s="5"/>
      <c r="Q84" s="49">
        <f t="shared" si="10"/>
        <v>3.9079856126165357E-3</v>
      </c>
      <c r="R84" s="5" t="str">
        <f>IF(Q84&gt;('Constants and exponents'!$F$44/100),"True","False")</f>
        <v>False</v>
      </c>
    </row>
    <row r="85" spans="1:18" s="4" customFormat="1" x14ac:dyDescent="0.15">
      <c r="A85" s="7">
        <f t="shared" si="9"/>
        <v>83</v>
      </c>
      <c r="B85" s="7">
        <f>'Constants and exponents'!$C$29*(I84^'Constants and exponents'!$C$30)*L84</f>
        <v>33.226586588993584</v>
      </c>
      <c r="C85" s="7">
        <f t="shared" si="11"/>
        <v>1316.0067382981183</v>
      </c>
      <c r="D85" s="7">
        <f>D84+('Constants and exponents'!$C$3*(B85^'Constants and exponents'!$C$4))</f>
        <v>1216.1842815966759</v>
      </c>
      <c r="E85" s="4">
        <f>('Constants and exponents'!$C$19*(J85^'Constants and exponents'!$C$20))-'Constants and exponents'!$C$21</f>
        <v>43.052266952058694</v>
      </c>
      <c r="F85" s="4">
        <f>'Constants and exponents'!$C$25+('Constants and exponents'!$C$26*(LN(J85)))</f>
        <v>22.66802890812767</v>
      </c>
      <c r="G85" s="4" t="str">
        <f t="shared" si="12"/>
        <v>True</v>
      </c>
      <c r="H85" s="4">
        <f t="shared" si="13"/>
        <v>22.66802890812767</v>
      </c>
      <c r="I85" s="4">
        <f>IF(G85="False",'Constants and exponents'!$C$7*(D85^'Constants and exponents'!$C$8),'Constants and exponents'!$C$11*(D85^'Constants and exponents'!$C$12))</f>
        <v>94.734326363023285</v>
      </c>
      <c r="J85" s="4">
        <f>'Constants and exponents'!$C$15*(D85^'Constants and exponents'!$C$16)</f>
        <v>0.43052266952058693</v>
      </c>
      <c r="K85" s="4">
        <f>(((I85/'Constants and exponents'!$C$34)/'Constants and exponents'!$C$37)^0.5)*0.7071067812</f>
        <v>13.164089990005639</v>
      </c>
      <c r="L85" s="7">
        <f>(((I85/'Constants and exponents'!$C$34)/'Constants and exponents'!$C$37)/2)</f>
        <v>173.29326525837297</v>
      </c>
      <c r="M85" s="6">
        <f>0.79*((('Constants and exponents'!$C$36*1000000000)/(9.81*'Constants and exponents'!$C$35))^0.33)*(J85^0.6667)</f>
        <v>42.85227321121279</v>
      </c>
      <c r="N85" s="14" t="str">
        <f t="shared" si="8"/>
        <v>False</v>
      </c>
      <c r="P85" s="5"/>
      <c r="Q85" s="49">
        <f t="shared" si="10"/>
        <v>3.8663406427532883E-3</v>
      </c>
      <c r="R85" s="5" t="str">
        <f>IF(Q85&gt;('Constants and exponents'!$F$44/100),"True","False")</f>
        <v>False</v>
      </c>
    </row>
    <row r="86" spans="1:18" s="4" customFormat="1" x14ac:dyDescent="0.15">
      <c r="A86" s="7">
        <f t="shared" si="9"/>
        <v>84</v>
      </c>
      <c r="B86" s="7">
        <f>'Constants and exponents'!$C$29*(I85^'Constants and exponents'!$C$30)*L85</f>
        <v>33.53085494729541</v>
      </c>
      <c r="C86" s="7">
        <f t="shared" si="11"/>
        <v>1344.4494629069945</v>
      </c>
      <c r="D86" s="7">
        <f>D85+('Constants and exponents'!$C$3*(B86^'Constants and exponents'!$C$4))</f>
        <v>1243.0089655545121</v>
      </c>
      <c r="E86" s="4">
        <f>('Constants and exponents'!$C$19*(J86^'Constants and exponents'!$C$20))-'Constants and exponents'!$C$21</f>
        <v>43.40593369258432</v>
      </c>
      <c r="F86" s="4">
        <f>'Constants and exponents'!$C$25+('Constants and exponents'!$C$26*(LN(J86)))</f>
        <v>22.73920591116077</v>
      </c>
      <c r="G86" s="4" t="str">
        <f t="shared" si="12"/>
        <v>True</v>
      </c>
      <c r="H86" s="4">
        <f t="shared" si="13"/>
        <v>22.73920591116077</v>
      </c>
      <c r="I86" s="4">
        <f>IF(G86="False",'Constants and exponents'!$C$7*(D86^'Constants and exponents'!$C$8),'Constants and exponents'!$C$11*(D86^'Constants and exponents'!$C$12))</f>
        <v>96.297170741501375</v>
      </c>
      <c r="J86" s="4">
        <f>'Constants and exponents'!$C$15*(D86^'Constants and exponents'!$C$16)</f>
        <v>0.4340593369258432</v>
      </c>
      <c r="K86" s="4">
        <f>(((I86/'Constants and exponents'!$C$34)/'Constants and exponents'!$C$37)^0.5)*0.7071067812</f>
        <v>13.27223065548873</v>
      </c>
      <c r="L86" s="7">
        <f>(((I86/'Constants and exponents'!$C$34)/'Constants and exponents'!$C$37)/2)</f>
        <v>176.15210656579237</v>
      </c>
      <c r="M86" s="6">
        <f>0.79*((('Constants and exponents'!$C$36*1000000000)/(9.81*'Constants and exponents'!$C$35))^0.33)*(J86^0.6667)</f>
        <v>43.086647367859349</v>
      </c>
      <c r="N86" s="14" t="str">
        <f t="shared" si="8"/>
        <v>False</v>
      </c>
      <c r="P86" s="5"/>
      <c r="Q86" s="49">
        <f t="shared" si="10"/>
        <v>3.8256005546390332E-3</v>
      </c>
      <c r="R86" s="5" t="str">
        <f>IF(Q86&gt;('Constants and exponents'!$F$44/100),"True","False")</f>
        <v>False</v>
      </c>
    </row>
    <row r="87" spans="1:18" s="1" customFormat="1" x14ac:dyDescent="0.15">
      <c r="A87" s="17">
        <f t="shared" si="9"/>
        <v>85</v>
      </c>
      <c r="B87" s="7">
        <f>'Constants and exponents'!$C$29*(I86^'Constants and exponents'!$C$30)*L86</f>
        <v>33.833974126095761</v>
      </c>
      <c r="C87" s="17">
        <f t="shared" si="11"/>
        <v>1373.140110422109</v>
      </c>
      <c r="D87" s="17">
        <f>D86+('Constants and exponents'!$C$3*(B87^'Constants and exponents'!$C$4))</f>
        <v>1270.0761448553887</v>
      </c>
      <c r="E87" s="1">
        <f>('Constants and exponents'!$C$19*(J87^'Constants and exponents'!$C$20))-'Constants and exponents'!$C$21</f>
        <v>43.757995001779648</v>
      </c>
      <c r="F87" s="1">
        <f>'Constants and exponents'!$C$25+('Constants and exponents'!$C$26*(LN(J87)))</f>
        <v>22.80948613125576</v>
      </c>
      <c r="G87" s="1" t="str">
        <f t="shared" si="12"/>
        <v>True</v>
      </c>
      <c r="H87" s="1">
        <f t="shared" si="13"/>
        <v>22.80948613125576</v>
      </c>
      <c r="I87" s="1">
        <f>IF(G87="False",'Constants and exponents'!$C$7*(D87^'Constants and exponents'!$C$8),'Constants and exponents'!$C$11*(D87^'Constants and exponents'!$C$12))</f>
        <v>97.865619802761728</v>
      </c>
      <c r="J87" s="1">
        <f>'Constants and exponents'!$C$15*(D87^'Constants and exponents'!$C$16)</f>
        <v>0.43757995001779648</v>
      </c>
      <c r="K87" s="1">
        <f>(((I87/'Constants and exponents'!$C$34)/'Constants and exponents'!$C$37)^0.5)*0.7071067812</f>
        <v>13.379880428296454</v>
      </c>
      <c r="L87" s="17">
        <f>(((I87/'Constants and exponents'!$C$34)/'Constants and exponents'!$C$37)/2)</f>
        <v>179.02120026869883</v>
      </c>
      <c r="M87" s="18">
        <f>0.79*((('Constants and exponents'!$C$36*1000000000)/(9.81*'Constants and exponents'!$C$35))^0.33)*(J87^0.6667)</f>
        <v>43.319326287333382</v>
      </c>
      <c r="N87" s="17" t="str">
        <f t="shared" si="8"/>
        <v>False</v>
      </c>
      <c r="P87" s="5"/>
      <c r="Q87" s="49">
        <f t="shared" si="10"/>
        <v>3.7857358651918779E-3</v>
      </c>
      <c r="R87" s="5" t="str">
        <f>IF(Q87&gt;('Constants and exponents'!$F$44/100),"True","False")</f>
        <v>False</v>
      </c>
    </row>
    <row r="88" spans="1:18" s="4" customFormat="1" x14ac:dyDescent="0.15">
      <c r="A88" s="7">
        <f t="shared" si="9"/>
        <v>86</v>
      </c>
      <c r="B88" s="7">
        <f>'Constants and exponents'!$C$29*(I87^'Constants and exponents'!$C$30)*L87</f>
        <v>34.13596273292427</v>
      </c>
      <c r="C88" s="7">
        <f t="shared" si="11"/>
        <v>1402.0777273910749</v>
      </c>
      <c r="D88" s="7">
        <f>D87+('Constants and exponents'!$C$3*(B88^'Constants and exponents'!$C$4))</f>
        <v>1297.3849150417282</v>
      </c>
      <c r="E88" s="4">
        <f>('Constants and exponents'!$C$19*(J88^'Constants and exponents'!$C$20))-'Constants and exponents'!$C$21</f>
        <v>44.108477885768792</v>
      </c>
      <c r="F88" s="4">
        <f>'Constants and exponents'!$C$25+('Constants and exponents'!$C$26*(LN(J88)))</f>
        <v>22.878891836576997</v>
      </c>
      <c r="G88" s="4" t="str">
        <f t="shared" si="12"/>
        <v>True</v>
      </c>
      <c r="H88" s="4">
        <f t="shared" si="13"/>
        <v>22.878891836576997</v>
      </c>
      <c r="I88" s="4">
        <f>IF(G88="False",'Constants and exponents'!$C$7*(D88^'Constants and exponents'!$C$8),'Constants and exponents'!$C$11*(D88^'Constants and exponents'!$C$12))</f>
        <v>99.439621982633696</v>
      </c>
      <c r="J88" s="4">
        <f>'Constants and exponents'!$C$15*(D88^'Constants and exponents'!$C$16)</f>
        <v>0.44108477885768793</v>
      </c>
      <c r="K88" s="4">
        <f>(((I88/'Constants and exponents'!$C$34)/'Constants and exponents'!$C$37)^0.5)*0.7071067812</f>
        <v>13.487047566090325</v>
      </c>
      <c r="L88" s="7">
        <f>(((I88/'Constants and exponents'!$C$34)/'Constants and exponents'!$C$37)/2)</f>
        <v>181.90045204306176</v>
      </c>
      <c r="M88" s="6">
        <f>0.79*((('Constants and exponents'!$C$36*1000000000)/(9.81*'Constants and exponents'!$C$35))^0.33)*(J88^0.6667)</f>
        <v>43.550343065917716</v>
      </c>
      <c r="N88" s="14" t="str">
        <f t="shared" si="8"/>
        <v>False</v>
      </c>
      <c r="P88" s="5"/>
      <c r="Q88" s="49">
        <f t="shared" si="10"/>
        <v>3.746718362389117E-3</v>
      </c>
      <c r="R88" s="5" t="str">
        <f>IF(Q88&gt;('Constants and exponents'!$F$44/100),"True","False")</f>
        <v>False</v>
      </c>
    </row>
    <row r="89" spans="1:18" s="4" customFormat="1" x14ac:dyDescent="0.15">
      <c r="A89" s="7">
        <f t="shared" si="9"/>
        <v>87</v>
      </c>
      <c r="B89" s="7">
        <f>'Constants and exponents'!$C$29*(I88^'Constants and exponents'!$C$30)*L88</f>
        <v>34.436838849549694</v>
      </c>
      <c r="C89" s="7">
        <f t="shared" si="11"/>
        <v>1431.2613758739117</v>
      </c>
      <c r="D89" s="7">
        <f>D88+('Constants and exponents'!$C$3*(B89^'Constants and exponents'!$C$4))</f>
        <v>1324.9343861213679</v>
      </c>
      <c r="E89" s="4">
        <f>('Constants and exponents'!$C$19*(J89^'Constants and exponents'!$C$20))-'Constants and exponents'!$C$21</f>
        <v>44.457408573894092</v>
      </c>
      <c r="F89" s="4">
        <f>'Constants and exponents'!$C$25+('Constants and exponents'!$C$26*(LN(J89)))</f>
        <v>22.947444477210983</v>
      </c>
      <c r="G89" s="4" t="str">
        <f t="shared" si="12"/>
        <v>True</v>
      </c>
      <c r="H89" s="4">
        <f t="shared" si="13"/>
        <v>22.947444477210983</v>
      </c>
      <c r="I89" s="4">
        <f>IF(G89="False",'Constants and exponents'!$C$7*(D89^'Constants and exponents'!$C$8),'Constants and exponents'!$C$11*(D89^'Constants and exponents'!$C$12))</f>
        <v>101.01912682987</v>
      </c>
      <c r="J89" s="4">
        <f>'Constants and exponents'!$C$15*(D89^'Constants and exponents'!$C$16)</f>
        <v>0.44457408573894092</v>
      </c>
      <c r="K89" s="4">
        <f>(((I89/'Constants and exponents'!$C$34)/'Constants and exponents'!$C$37)^0.5)*0.7071067812</f>
        <v>13.593740089015331</v>
      </c>
      <c r="L89" s="7">
        <f>(((I89/'Constants and exponents'!$C$34)/'Constants and exponents'!$C$37)/2)</f>
        <v>184.78976960067141</v>
      </c>
      <c r="M89" s="6">
        <f>0.79*((('Constants and exponents'!$C$36*1000000000)/(9.81*'Constants and exponents'!$C$35))^0.33)*(J89^0.6667)</f>
        <v>43.779729758076158</v>
      </c>
      <c r="N89" s="14" t="str">
        <f t="shared" si="8"/>
        <v>False</v>
      </c>
      <c r="P89" s="5"/>
      <c r="Q89" s="49">
        <f t="shared" si="10"/>
        <v>3.7085210375588655E-3</v>
      </c>
      <c r="R89" s="5" t="str">
        <f>IF(Q89&gt;('Constants and exponents'!$F$44/100),"True","False")</f>
        <v>False</v>
      </c>
    </row>
    <row r="90" spans="1:18" s="4" customFormat="1" x14ac:dyDescent="0.15">
      <c r="A90" s="7">
        <f t="shared" si="9"/>
        <v>88</v>
      </c>
      <c r="B90" s="7">
        <f>'Constants and exponents'!$C$29*(I89^'Constants and exponents'!$C$30)*L89</f>
        <v>34.736620053009638</v>
      </c>
      <c r="C90" s="7">
        <f t="shared" si="11"/>
        <v>1460.6901330042474</v>
      </c>
      <c r="D90" s="7">
        <f>D89+('Constants and exponents'!$C$3*(B90^'Constants and exponents'!$C$4))</f>
        <v>1352.7236821637755</v>
      </c>
      <c r="E90" s="4">
        <f>('Constants and exponents'!$C$19*(J90^'Constants and exponents'!$C$20))-'Constants and exponents'!$C$21</f>
        <v>44.804812550093018</v>
      </c>
      <c r="F90" s="4">
        <f>'Constants and exponents'!$C$25+('Constants and exponents'!$C$26*(LN(J90)))</f>
        <v>23.015164724712065</v>
      </c>
      <c r="G90" s="4" t="str">
        <f t="shared" si="12"/>
        <v>True</v>
      </c>
      <c r="H90" s="4">
        <f t="shared" si="13"/>
        <v>23.015164724712065</v>
      </c>
      <c r="I90" s="4">
        <f>IF(G90="False",'Constants and exponents'!$C$7*(D90^'Constants and exponents'!$C$8),'Constants and exponents'!$C$11*(D90^'Constants and exponents'!$C$12))</f>
        <v>102.60408496872527</v>
      </c>
      <c r="J90" s="4">
        <f>'Constants and exponents'!$C$15*(D90^'Constants and exponents'!$C$16)</f>
        <v>0.44804812550093015</v>
      </c>
      <c r="K90" s="4">
        <f>(((I90/'Constants and exponents'!$C$34)/'Constants and exponents'!$C$37)^0.5)*0.7071067812</f>
        <v>13.699965789294041</v>
      </c>
      <c r="L90" s="7">
        <f>(((I90/'Constants and exponents'!$C$34)/'Constants and exponents'!$C$37)/2)</f>
        <v>187.68906262068563</v>
      </c>
      <c r="M90" s="6">
        <f>0.79*((('Constants and exponents'!$C$36*1000000000)/(9.81*'Constants and exponents'!$C$35))^0.33)*(J90^0.6667)</f>
        <v>44.007517421382012</v>
      </c>
      <c r="N90" s="14" t="str">
        <f t="shared" si="8"/>
        <v>False</v>
      </c>
      <c r="P90" s="5"/>
      <c r="Q90" s="49">
        <f t="shared" si="10"/>
        <v>3.6711180219432212E-3</v>
      </c>
      <c r="R90" s="5" t="str">
        <f>IF(Q90&gt;('Constants and exponents'!$F$44/100),"True","False")</f>
        <v>False</v>
      </c>
    </row>
    <row r="91" spans="1:18" s="4" customFormat="1" x14ac:dyDescent="0.15">
      <c r="A91" s="7">
        <f t="shared" si="9"/>
        <v>89</v>
      </c>
      <c r="B91" s="7">
        <f>'Constants and exponents'!$C$29*(I90^'Constants and exponents'!$C$30)*L90</f>
        <v>35.035323435558432</v>
      </c>
      <c r="C91" s="7">
        <f t="shared" si="11"/>
        <v>1490.3630905680593</v>
      </c>
      <c r="D91" s="7">
        <f>D90+('Constants and exponents'!$C$3*(B91^'Constants and exponents'!$C$4))</f>
        <v>1380.7519409122222</v>
      </c>
      <c r="E91" s="4">
        <f>('Constants and exponents'!$C$19*(J91^'Constants and exponents'!$C$20))-'Constants and exponents'!$C$21</f>
        <v>45.150714582651688</v>
      </c>
      <c r="F91" s="4">
        <f>'Constants and exponents'!$C$25+('Constants and exponents'!$C$26*(LN(J91)))</f>
        <v>23.082072509289144</v>
      </c>
      <c r="G91" s="4" t="str">
        <f t="shared" si="12"/>
        <v>True</v>
      </c>
      <c r="H91" s="4">
        <f t="shared" si="13"/>
        <v>23.082072509289144</v>
      </c>
      <c r="I91" s="4">
        <f>IF(G91="False",'Constants and exponents'!$C$7*(D91^'Constants and exponents'!$C$8),'Constants and exponents'!$C$11*(D91^'Constants and exponents'!$C$12))</f>
        <v>104.19444806323057</v>
      </c>
      <c r="J91" s="4">
        <f>'Constants and exponents'!$C$15*(D91^'Constants and exponents'!$C$16)</f>
        <v>0.45150714582651691</v>
      </c>
      <c r="K91" s="4">
        <f>(((I91/'Constants and exponents'!$C$34)/'Constants and exponents'!$C$37)^0.5)*0.7071067812</f>
        <v>13.805732240324341</v>
      </c>
      <c r="L91" s="7">
        <f>(((I91/'Constants and exponents'!$C$34)/'Constants and exponents'!$C$37)/2)</f>
        <v>190.59824268427877</v>
      </c>
      <c r="M91" s="6">
        <f>0.79*((('Constants and exponents'!$C$36*1000000000)/(9.81*'Constants and exponents'!$C$35))^0.33)*(J91^0.6667)</f>
        <v>44.233736158998802</v>
      </c>
      <c r="N91" s="14" t="str">
        <f t="shared" si="8"/>
        <v>False</v>
      </c>
      <c r="P91" s="5"/>
      <c r="Q91" s="49">
        <f t="shared" si="10"/>
        <v>3.6344845272181367E-3</v>
      </c>
      <c r="R91" s="5" t="str">
        <f>IF(Q91&gt;('Constants and exponents'!$F$44/100),"True","False")</f>
        <v>False</v>
      </c>
    </row>
    <row r="92" spans="1:18" s="1" customFormat="1" x14ac:dyDescent="0.15">
      <c r="A92" s="17">
        <f t="shared" si="9"/>
        <v>90</v>
      </c>
      <c r="B92" s="7">
        <f>'Constants and exponents'!$C$29*(I91^'Constants and exponents'!$C$30)*L91</f>
        <v>35.332965623600799</v>
      </c>
      <c r="C92" s="17">
        <f t="shared" si="11"/>
        <v>1520.2793545990535</v>
      </c>
      <c r="D92" s="17">
        <f>D91+('Constants and exponents'!$C$3*(B92^'Constants and exponents'!$C$4))</f>
        <v>1409.0183134111028</v>
      </c>
      <c r="E92" s="1">
        <f>('Constants and exponents'!$C$19*(J92^'Constants and exponents'!$C$20))-'Constants and exponents'!$C$21</f>
        <v>45.495138752437377</v>
      </c>
      <c r="F92" s="1">
        <f>'Constants and exponents'!$C$25+('Constants and exponents'!$C$26*(LN(J92)))</f>
        <v>23.148187054800044</v>
      </c>
      <c r="G92" s="1" t="str">
        <f t="shared" si="12"/>
        <v>True</v>
      </c>
      <c r="H92" s="1">
        <f t="shared" si="13"/>
        <v>23.148187054800044</v>
      </c>
      <c r="I92" s="1">
        <f>IF(G92="False",'Constants and exponents'!$C$7*(D92^'Constants and exponents'!$C$8),'Constants and exponents'!$C$11*(D92^'Constants and exponents'!$C$12))</f>
        <v>105.79016878306926</v>
      </c>
      <c r="J92" s="1">
        <f>'Constants and exponents'!$C$15*(D92^'Constants and exponents'!$C$16)</f>
        <v>0.45495138752437375</v>
      </c>
      <c r="K92" s="1">
        <f>(((I92/'Constants and exponents'!$C$34)/'Constants and exponents'!$C$37)^0.5)*0.7071067812</f>
        <v>13.91104680531207</v>
      </c>
      <c r="L92" s="17">
        <f>(((I92/'Constants and exponents'!$C$34)/'Constants and exponents'!$C$37)/2)</f>
        <v>193.51722321221993</v>
      </c>
      <c r="M92" s="18">
        <f>0.79*((('Constants and exponents'!$C$36*1000000000)/(9.81*'Constants and exponents'!$C$35))^0.33)*(J92^0.6667)</f>
        <v>44.458415159873852</v>
      </c>
      <c r="N92" s="17" t="str">
        <f t="shared" si="8"/>
        <v>False</v>
      </c>
      <c r="P92" s="5"/>
      <c r="Q92" s="49">
        <f t="shared" si="10"/>
        <v>3.5985967896829674E-3</v>
      </c>
      <c r="R92" s="5" t="str">
        <f>IF(Q92&gt;('Constants and exponents'!$F$44/100),"True","False")</f>
        <v>False</v>
      </c>
    </row>
    <row r="93" spans="1:18" s="4" customFormat="1" x14ac:dyDescent="0.15">
      <c r="A93" s="7">
        <f t="shared" si="9"/>
        <v>91</v>
      </c>
      <c r="B93" s="7">
        <f>'Constants and exponents'!$C$29*(I92^'Constants and exponents'!$C$30)*L92</f>
        <v>35.629562795674303</v>
      </c>
      <c r="C93" s="7">
        <f t="shared" si="11"/>
        <v>1550.4380449898463</v>
      </c>
      <c r="D93" s="7">
        <f>D92+('Constants and exponents'!$C$3*(B93^'Constants and exponents'!$C$4))</f>
        <v>1437.5219636476422</v>
      </c>
      <c r="E93" s="4">
        <f>('Constants and exponents'!$C$19*(J93^'Constants and exponents'!$C$20))-'Constants and exponents'!$C$21</f>
        <v>45.83810847970426</v>
      </c>
      <c r="F93" s="4">
        <f>'Constants and exponents'!$C$25+('Constants and exponents'!$C$26*(LN(J93)))</f>
        <v>23.213526911706872</v>
      </c>
      <c r="G93" s="4" t="str">
        <f t="shared" si="12"/>
        <v>True</v>
      </c>
      <c r="H93" s="4">
        <f t="shared" si="13"/>
        <v>23.213526911706872</v>
      </c>
      <c r="I93" s="4">
        <f>IF(G93="False",'Constants and exponents'!$C$7*(D93^'Constants and exponents'!$C$8),'Constants and exponents'!$C$11*(D93^'Constants and exponents'!$C$12))</f>
        <v>107.39120077096472</v>
      </c>
      <c r="J93" s="4">
        <f>'Constants and exponents'!$C$15*(D93^'Constants and exponents'!$C$16)</f>
        <v>0.45838108479704259</v>
      </c>
      <c r="K93" s="4">
        <f>(((I93/'Constants and exponents'!$C$34)/'Constants and exponents'!$C$37)^0.5)*0.7071067812</f>
        <v>14.015916645467446</v>
      </c>
      <c r="L93" s="7">
        <f>(((I93/'Constants and exponents'!$C$34)/'Constants and exponents'!$C$37)/2)</f>
        <v>196.44591940521678</v>
      </c>
      <c r="M93" s="6">
        <f>0.79*((('Constants and exponents'!$C$36*1000000000)/(9.81*'Constants and exponents'!$C$35))^0.33)*(J93^0.6667)</f>
        <v>44.681582736792819</v>
      </c>
      <c r="N93" s="14" t="str">
        <f t="shared" si="8"/>
        <v>False</v>
      </c>
      <c r="P93" s="5"/>
      <c r="Q93" s="49">
        <f t="shared" si="10"/>
        <v>3.5634320178691298E-3</v>
      </c>
      <c r="R93" s="5" t="str">
        <f>IF(Q93&gt;('Constants and exponents'!$F$44/100),"True","False")</f>
        <v>False</v>
      </c>
    </row>
    <row r="94" spans="1:18" s="4" customFormat="1" x14ac:dyDescent="0.15">
      <c r="A94" s="7">
        <f t="shared" si="9"/>
        <v>92</v>
      </c>
      <c r="B94" s="7">
        <f>'Constants and exponents'!$C$29*(I93^'Constants and exponents'!$C$30)*L93</f>
        <v>35.925130699538947</v>
      </c>
      <c r="C94" s="7">
        <f t="shared" si="11"/>
        <v>1580.8382951181459</v>
      </c>
      <c r="D94" s="7">
        <f>D93+('Constants and exponents'!$C$3*(B94^'Constants and exponents'!$C$4))</f>
        <v>1466.2620682072734</v>
      </c>
      <c r="E94" s="4">
        <f>('Constants and exponents'!$C$19*(J94^'Constants and exponents'!$C$20))-'Constants and exponents'!$C$21</f>
        <v>46.179646549559685</v>
      </c>
      <c r="F94" s="4">
        <f>'Constants and exponents'!$C$25+('Constants and exponents'!$C$26*(LN(J94)))</f>
        <v>23.278109988133036</v>
      </c>
      <c r="G94" s="4" t="str">
        <f t="shared" si="12"/>
        <v>True</v>
      </c>
      <c r="H94" s="4">
        <f t="shared" si="13"/>
        <v>23.278109988133036</v>
      </c>
      <c r="I94" s="4">
        <f>IF(G94="False",'Constants and exponents'!$C$7*(D94^'Constants and exponents'!$C$8),'Constants and exponents'!$C$11*(D94^'Constants and exponents'!$C$12))</f>
        <v>108.99749861149327</v>
      </c>
      <c r="J94" s="4">
        <f>'Constants and exponents'!$C$15*(D94^'Constants and exponents'!$C$16)</f>
        <v>0.46179646549559683</v>
      </c>
      <c r="K94" s="4">
        <f>(((I94/'Constants and exponents'!$C$34)/'Constants and exponents'!$C$37)^0.5)*0.7071067812</f>
        <v>14.12034872779185</v>
      </c>
      <c r="L94" s="7">
        <f>(((I94/'Constants and exponents'!$C$34)/'Constants and exponents'!$C$37)/2)</f>
        <v>199.38424818686647</v>
      </c>
      <c r="M94" s="6">
        <f>0.79*((('Constants and exponents'!$C$36*1000000000)/(9.81*'Constants and exponents'!$C$35))^0.33)*(J94^0.6667)</f>
        <v>44.903266362432156</v>
      </c>
      <c r="N94" s="14" t="str">
        <f t="shared" si="8"/>
        <v>False</v>
      </c>
      <c r="P94" s="5"/>
      <c r="Q94" s="49">
        <f t="shared" si="10"/>
        <v>3.5289683433195823E-3</v>
      </c>
      <c r="R94" s="5" t="str">
        <f>IF(Q94&gt;('Constants and exponents'!$F$44/100),"True","False")</f>
        <v>False</v>
      </c>
    </row>
    <row r="95" spans="1:18" s="4" customFormat="1" x14ac:dyDescent="0.15">
      <c r="A95" s="7">
        <f t="shared" si="9"/>
        <v>93</v>
      </c>
      <c r="B95" s="7">
        <f>'Constants and exponents'!$C$29*(I94^'Constants and exponents'!$C$30)*L94</f>
        <v>36.219684668427028</v>
      </c>
      <c r="C95" s="7">
        <f t="shared" si="11"/>
        <v>1611.4792514871938</v>
      </c>
      <c r="D95" s="7">
        <f>D94+('Constants and exponents'!$C$3*(B95^'Constants and exponents'!$C$4))</f>
        <v>1495.237815942015</v>
      </c>
      <c r="E95" s="4">
        <f>('Constants and exponents'!$C$19*(J95^'Constants and exponents'!$C$20))-'Constants and exponents'!$C$21</f>
        <v>46.519775136172633</v>
      </c>
      <c r="F95" s="4">
        <f>'Constants and exponents'!$C$25+('Constants and exponents'!$C$26*(LN(J95)))</f>
        <v>23.341953579151671</v>
      </c>
      <c r="G95" s="4" t="str">
        <f t="shared" si="12"/>
        <v>True</v>
      </c>
      <c r="H95" s="4">
        <f t="shared" si="13"/>
        <v>23.341953579151671</v>
      </c>
      <c r="I95" s="4">
        <f>IF(G95="False",'Constants and exponents'!$C$7*(D95^'Constants and exponents'!$C$8),'Constants and exponents'!$C$11*(D95^'Constants and exponents'!$C$12))</f>
        <v>110.6090178012478</v>
      </c>
      <c r="J95" s="4">
        <f>'Constants and exponents'!$C$15*(D95^'Constants and exponents'!$C$16)</f>
        <v>0.46519775136172631</v>
      </c>
      <c r="K95" s="4">
        <f>(((I95/'Constants and exponents'!$C$34)/'Constants and exponents'!$C$37)^0.5)*0.7071067812</f>
        <v>14.224349832480073</v>
      </c>
      <c r="L95" s="7">
        <f>(((I95/'Constants and exponents'!$C$34)/'Constants and exponents'!$C$37)/2)</f>
        <v>202.33212814907722</v>
      </c>
      <c r="M95" s="6">
        <f>0.79*((('Constants and exponents'!$C$36*1000000000)/(9.81*'Constants and exponents'!$C$35))^0.33)*(J95^0.6667)</f>
        <v>45.123492703536435</v>
      </c>
      <c r="N95" s="14" t="str">
        <f t="shared" si="8"/>
        <v>False</v>
      </c>
      <c r="P95" s="5"/>
      <c r="Q95" s="49">
        <f t="shared" si="10"/>
        <v>3.49518477432023E-3</v>
      </c>
      <c r="R95" s="5" t="str">
        <f>IF(Q95&gt;('Constants and exponents'!$F$44/100),"True","False")</f>
        <v>False</v>
      </c>
    </row>
    <row r="96" spans="1:18" s="4" customFormat="1" x14ac:dyDescent="0.15">
      <c r="A96" s="7">
        <f t="shared" si="9"/>
        <v>94</v>
      </c>
      <c r="B96" s="7">
        <f>'Constants and exponents'!$C$29*(I95^'Constants and exponents'!$C$30)*L95</f>
        <v>36.513239636504522</v>
      </c>
      <c r="C96" s="7">
        <f t="shared" si="11"/>
        <v>1642.3600733797673</v>
      </c>
      <c r="D96" s="7">
        <f>D95+('Constants and exponents'!$C$3*(B96^'Constants and exponents'!$C$4))</f>
        <v>1524.4484076512185</v>
      </c>
      <c r="E96" s="4">
        <f>('Constants and exponents'!$C$19*(J96^'Constants and exponents'!$C$20))-'Constants and exponents'!$C$21</f>
        <v>46.858515825799557</v>
      </c>
      <c r="F96" s="4">
        <f>'Constants and exponents'!$C$25+('Constants and exponents'!$C$26*(LN(J96)))</f>
        <v>23.405074394424876</v>
      </c>
      <c r="G96" s="4" t="str">
        <f t="shared" si="12"/>
        <v>True</v>
      </c>
      <c r="H96" s="4">
        <f t="shared" si="13"/>
        <v>23.405074394424876</v>
      </c>
      <c r="I96" s="4">
        <f>IF(G96="False",'Constants and exponents'!$C$7*(D96^'Constants and exponents'!$C$8),'Constants and exponents'!$C$11*(D96^'Constants and exponents'!$C$12))</f>
        <v>112.22571472027617</v>
      </c>
      <c r="J96" s="4">
        <f>'Constants and exponents'!$C$15*(D96^'Constants and exponents'!$C$16)</f>
        <v>0.46858515825799557</v>
      </c>
      <c r="K96" s="4">
        <f>(((I96/'Constants and exponents'!$C$34)/'Constants and exponents'!$C$37)^0.5)*0.7071067812</f>
        <v>14.327926559960904</v>
      </c>
      <c r="L96" s="7">
        <f>(((I96/'Constants and exponents'!$C$34)/'Constants and exponents'!$C$37)/2)</f>
        <v>205.28947949982197</v>
      </c>
      <c r="M96" s="6">
        <f>0.79*((('Constants and exponents'!$C$36*1000000000)/(9.81*'Constants and exponents'!$C$35))^0.33)*(J96^0.6667)</f>
        <v>45.342287653337806</v>
      </c>
      <c r="N96" s="14" t="str">
        <f t="shared" si="8"/>
        <v>False</v>
      </c>
      <c r="P96" s="5"/>
      <c r="Q96" s="49">
        <f t="shared" si="10"/>
        <v>3.4620611523828236E-3</v>
      </c>
      <c r="R96" s="5" t="str">
        <f>IF(Q96&gt;('Constants and exponents'!$F$44/100),"True","False")</f>
        <v>False</v>
      </c>
    </row>
    <row r="97" spans="1:18" s="1" customFormat="1" x14ac:dyDescent="0.15">
      <c r="A97" s="17">
        <f t="shared" si="9"/>
        <v>95</v>
      </c>
      <c r="B97" s="7">
        <f>'Constants and exponents'!$C$29*(I96^'Constants and exponents'!$C$30)*L96</f>
        <v>36.805810153590066</v>
      </c>
      <c r="C97" s="17">
        <f>D96+I96+B97</f>
        <v>1673.4799325250847</v>
      </c>
      <c r="D97" s="17">
        <f>D96+('Constants and exponents'!$C$3*(B97^'Constants and exponents'!$C$4))</f>
        <v>1553.8930557740905</v>
      </c>
      <c r="E97" s="1">
        <f>('Constants and exponents'!$C$19*(J97^'Constants and exponents'!$C$20))-'Constants and exponents'!$C$21</f>
        <v>47.195889638697899</v>
      </c>
      <c r="F97" s="1">
        <f>'Constants and exponents'!$C$25+('Constants and exponents'!$C$26*(LN(J97)))</f>
        <v>23.467488584303858</v>
      </c>
      <c r="G97" s="1" t="str">
        <f>IF(G96="True", "True", IF(F97&gt;E97,"True","False"))</f>
        <v>True</v>
      </c>
      <c r="H97" s="1">
        <f>IF(G97="True", F97, E97)</f>
        <v>23.467488584303858</v>
      </c>
      <c r="I97" s="1">
        <f>IF(G97="False",'Constants and exponents'!$C$7*(D97^'Constants and exponents'!$C$8),'Constants and exponents'!$C$11*(D97^'Constants and exponents'!$C$12))</f>
        <v>113.84754660472778</v>
      </c>
      <c r="J97" s="1">
        <f>'Constants and exponents'!$C$15*(D97^'Constants and exponents'!$C$16)</f>
        <v>0.47195889638697897</v>
      </c>
      <c r="K97" s="1">
        <f>(((I97/'Constants and exponents'!$C$34)/'Constants and exponents'!$C$37)^0.5)*0.7071067812</f>
        <v>14.431085337597647</v>
      </c>
      <c r="L97" s="17">
        <f>(((I97/'Constants and exponents'!$C$34)/'Constants and exponents'!$C$37)/2)</f>
        <v>208.25622401310179</v>
      </c>
      <c r="M97" s="18">
        <f>0.79*((('Constants and exponents'!$C$36*1000000000)/(9.81*'Constants and exponents'!$C$35))^0.33)*(J97^0.6667)</f>
        <v>45.559676362326613</v>
      </c>
      <c r="N97" s="17" t="str">
        <f t="shared" si="8"/>
        <v>False</v>
      </c>
      <c r="P97" s="5"/>
      <c r="Q97" s="49">
        <f t="shared" si="10"/>
        <v>3.4295781112872003E-3</v>
      </c>
      <c r="R97" s="5" t="str">
        <f>IF(Q97&gt;('Constants and exponents'!$F$44/100),"True","False")</f>
        <v>False</v>
      </c>
    </row>
    <row r="98" spans="1:18" x14ac:dyDescent="0.15">
      <c r="A98" s="7">
        <f t="shared" si="9"/>
        <v>96</v>
      </c>
      <c r="B98" s="7">
        <f>'Constants and exponents'!$C$29*(I97^'Constants and exponents'!$C$30)*L97</f>
        <v>37.097410399174834</v>
      </c>
      <c r="C98" s="7">
        <f>D97+I97+B98</f>
        <v>1704.8380127779931</v>
      </c>
      <c r="D98" s="7">
        <f>D97+('Constants and exponents'!$C$3*(B98^'Constants and exponents'!$C$4))</f>
        <v>1583.5709840934303</v>
      </c>
      <c r="E98" s="4">
        <f>('Constants and exponents'!$C$19*(J98^'Constants and exponents'!$C$20))-'Constants and exponents'!$C$21</f>
        <v>47.531917049992344</v>
      </c>
      <c r="F98" s="4">
        <f>'Constants and exponents'!$C$25+('Constants and exponents'!$C$26*(LN(J98)))</f>
        <v>23.529211764491631</v>
      </c>
      <c r="G98" s="4" t="str">
        <f>IF(G97="True", "True", IF(F98&gt;E98,"True","False"))</f>
        <v>True</v>
      </c>
      <c r="H98" s="4">
        <f>IF(G98="True", F98, E98)</f>
        <v>23.529211764491631</v>
      </c>
      <c r="I98" s="4">
        <f>IF(G98="False",'Constants and exponents'!$C$7*(D98^'Constants and exponents'!$C$8),'Constants and exponents'!$C$11*(D98^'Constants and exponents'!$C$12))</f>
        <v>115.47447152064251</v>
      </c>
      <c r="J98" s="4">
        <f>'Constants and exponents'!$C$15*(D98^'Constants and exponents'!$C$16)</f>
        <v>0.47531917049992345</v>
      </c>
      <c r="K98" s="4">
        <f>(((I98/'Constants and exponents'!$C$34)/'Constants and exponents'!$C$37)^0.5)*0.7071067812</f>
        <v>14.533832426068379</v>
      </c>
      <c r="L98" s="7">
        <f>(((I98/'Constants and exponents'!$C$34)/'Constants and exponents'!$C$37)/2)</f>
        <v>211.23228498099937</v>
      </c>
      <c r="M98" s="6">
        <f>0.79*((('Constants and exponents'!$C$36*1000000000)/(9.81*'Constants and exponents'!$C$35))^0.33)*(J98^0.6667)</f>
        <v>45.775683267474015</v>
      </c>
      <c r="N98" s="14" t="str">
        <f>IF(H98&gt;M98,"True","False")</f>
        <v>False</v>
      </c>
      <c r="P98" s="5"/>
      <c r="Q98" s="49">
        <f t="shared" si="10"/>
        <v>3.3977170385129027E-3</v>
      </c>
      <c r="R98" s="5" t="str">
        <f>IF(Q98&gt;('Constants and exponents'!$F$44/100),"True","False")</f>
        <v>False</v>
      </c>
    </row>
    <row r="99" spans="1:18" x14ac:dyDescent="0.15">
      <c r="A99" s="7">
        <f t="shared" si="9"/>
        <v>97</v>
      </c>
      <c r="B99" s="7">
        <f>'Constants and exponents'!$C$29*(I98^'Constants and exponents'!$C$30)*L98</f>
        <v>37.388054195784058</v>
      </c>
      <c r="C99" s="7">
        <f>D98+I98+B99</f>
        <v>1736.4335098098568</v>
      </c>
      <c r="D99" s="7">
        <f>D98+('Constants and exponents'!$C$3*(B99^'Constants and exponents'!$C$4))</f>
        <v>1613.4814274500575</v>
      </c>
      <c r="E99" s="4">
        <f>('Constants and exponents'!$C$19*(J99^'Constants and exponents'!$C$20))-'Constants and exponents'!$C$21</f>
        <v>47.866618009555054</v>
      </c>
      <c r="F99" s="4">
        <f>'Constants and exponents'!$C$25+('Constants and exponents'!$C$26*(LN(J99)))</f>
        <v>23.590259039362213</v>
      </c>
      <c r="G99" s="4" t="str">
        <f>IF(G98="True", "True", IF(F99&gt;E99,"True","False"))</f>
        <v>True</v>
      </c>
      <c r="H99" s="4">
        <f>IF(G99="True", F99, E99)</f>
        <v>23.590259039362213</v>
      </c>
      <c r="I99" s="4">
        <f>IF(G99="False",'Constants and exponents'!$C$7*(D99^'Constants and exponents'!$C$8),'Constants and exponents'!$C$11*(D99^'Constants and exponents'!$C$12))</f>
        <v>117.10644833882489</v>
      </c>
      <c r="J99" s="4">
        <f>'Constants and exponents'!$C$15*(D99^'Constants and exponents'!$C$16)</f>
        <v>0.47866618009555056</v>
      </c>
      <c r="K99" s="4">
        <f>(((I99/'Constants and exponents'!$C$34)/'Constants and exponents'!$C$37)^0.5)*0.7071067812</f>
        <v>14.636173925444735</v>
      </c>
      <c r="L99" s="7">
        <f>(((I99/'Constants and exponents'!$C$34)/'Constants and exponents'!$C$37)/2)</f>
        <v>214.21758716771745</v>
      </c>
      <c r="M99" s="6">
        <f>0.79*((('Constants and exponents'!$C$36*1000000000)/(9.81*'Constants and exponents'!$C$35))^0.33)*(J99^0.6667)</f>
        <v>45.990332120000545</v>
      </c>
      <c r="N99" s="14" t="str">
        <f>IF(H99&gt;M99,"True","False")</f>
        <v>False</v>
      </c>
      <c r="P99" s="5"/>
      <c r="Q99" s="49">
        <f t="shared" si="10"/>
        <v>3.3664600388957247E-3</v>
      </c>
      <c r="R99" s="5" t="str">
        <f>IF(Q99&gt;('Constants and exponents'!$F$44/100),"True","False")</f>
        <v>False</v>
      </c>
    </row>
    <row r="100" spans="1:18" x14ac:dyDescent="0.15">
      <c r="A100" s="7">
        <f t="shared" si="9"/>
        <v>98</v>
      </c>
      <c r="B100" s="7">
        <f>'Constants and exponents'!$C$29*(I99^'Constants and exponents'!$C$30)*L99</f>
        <v>37.677755021717779</v>
      </c>
      <c r="C100" s="7">
        <f>D99+I99+B100</f>
        <v>1768.2656308106002</v>
      </c>
      <c r="D100" s="7">
        <f>D99+('Constants and exponents'!$C$3*(B100^'Constants and exponents'!$C$4))</f>
        <v>1643.6236314674318</v>
      </c>
      <c r="E100" s="4">
        <f>('Constants and exponents'!$C$19*(J100^'Constants and exponents'!$C$20))-'Constants and exponents'!$C$21</f>
        <v>48.200011960956033</v>
      </c>
      <c r="F100" s="4">
        <f>'Constants and exponents'!$C$25+('Constants and exponents'!$C$26*(LN(J100)))</f>
        <v>23.65064502402311</v>
      </c>
      <c r="G100" s="4" t="str">
        <f>IF(G99="True", "True", IF(F100&gt;E100,"True","False"))</f>
        <v>True</v>
      </c>
      <c r="H100" s="4">
        <f>IF(G100="True", F100, E100)</f>
        <v>23.65064502402311</v>
      </c>
      <c r="I100" s="4">
        <f>IF(G100="False",'Constants and exponents'!$C$7*(D100^'Constants and exponents'!$C$8),'Constants and exponents'!$C$11*(D100^'Constants and exponents'!$C$12))</f>
        <v>118.74343671074449</v>
      </c>
      <c r="J100" s="4">
        <f>'Constants and exponents'!$C$15*(D100^'Constants and exponents'!$C$16)</f>
        <v>0.4820001196095603</v>
      </c>
      <c r="K100" s="4">
        <f>(((I100/'Constants and exponents'!$C$34)/'Constants and exponents'!$C$37)^0.5)*0.7071067812</f>
        <v>14.738115780986353</v>
      </c>
      <c r="L100" s="7">
        <f>(((I100/'Constants and exponents'!$C$34)/'Constants and exponents'!$C$37)/2)</f>
        <v>217.2120567654942</v>
      </c>
      <c r="M100" s="6">
        <f>0.79*((('Constants and exponents'!$C$36*1000000000)/(9.81*'Constants and exponents'!$C$35))^0.33)*(J100^0.6667)</f>
        <v>46.203646011777714</v>
      </c>
      <c r="N100" s="14" t="str">
        <f>IF(H100&gt;M100,"True","False")</f>
        <v>False</v>
      </c>
      <c r="P100" s="5"/>
      <c r="Q100" s="49">
        <f t="shared" si="10"/>
        <v>3.3357899003669794E-3</v>
      </c>
      <c r="R100" s="5" t="str">
        <f>IF(Q100&gt;('Constants and exponents'!$F$44/100),"True","False")</f>
        <v>False</v>
      </c>
    </row>
    <row r="101" spans="1:18" x14ac:dyDescent="0.15">
      <c r="A101" s="7">
        <f t="shared" si="9"/>
        <v>99</v>
      </c>
      <c r="B101" s="7">
        <f>'Constants and exponents'!$C$29*(I100^'Constants and exponents'!$C$30)*L100</f>
        <v>37.966526023205866</v>
      </c>
      <c r="C101" s="7">
        <f>D100+I100+B101</f>
        <v>1800.3335942013821</v>
      </c>
      <c r="D101" s="7">
        <f>D100+('Constants and exponents'!$C$3*(B101^'Constants and exponents'!$C$4))</f>
        <v>1673.9968522859965</v>
      </c>
      <c r="E101" s="4">
        <f>('Constants and exponents'!$C$19*(J101^'Constants and exponents'!$C$20))-'Constants and exponents'!$C$21</f>
        <v>48.532117859536676</v>
      </c>
      <c r="F101" s="4">
        <f>'Constants and exponents'!$C$25+('Constants and exponents'!$C$26*(LN(J101)))</f>
        <v>23.710383865201457</v>
      </c>
      <c r="G101" s="4" t="str">
        <f>IF(G100="True", "True", IF(F101&gt;E101,"True","False"))</f>
        <v>True</v>
      </c>
      <c r="H101" s="4">
        <f>IF(G101="True", F101, E101)</f>
        <v>23.710383865201457</v>
      </c>
      <c r="I101" s="4">
        <f>IF(G101="False",'Constants and exponents'!$C$7*(D101^'Constants and exponents'!$C$8),'Constants and exponents'!$C$11*(D101^'Constants and exponents'!$C$12))</f>
        <v>120.38539704541124</v>
      </c>
      <c r="J101" s="4">
        <f>'Constants and exponents'!$C$15*(D101^'Constants and exponents'!$C$16)</f>
        <v>0.48532117859536678</v>
      </c>
      <c r="K101" s="4">
        <f>(((I101/'Constants and exponents'!$C$34)/'Constants and exponents'!$C$37)^0.5)*0.7071067812</f>
        <v>14.839663788667242</v>
      </c>
      <c r="L101" s="7">
        <f>(((I101/'Constants and exponents'!$C$34)/'Constants and exponents'!$C$37)/2)</f>
        <v>220.21562135230266</v>
      </c>
      <c r="M101" s="6">
        <f>0.79*((('Constants and exponents'!$C$36*1000000000)/(9.81*'Constants and exponents'!$C$35))^0.33)*(J101^0.6667)</f>
        <v>46.415647400443639</v>
      </c>
      <c r="N101" s="14" t="str">
        <f>IF(H101&gt;M101,"True","False")</f>
        <v>False</v>
      </c>
      <c r="P101" s="5"/>
      <c r="Q101" s="49">
        <f t="shared" si="10"/>
        <v>3.3056900616322982E-3</v>
      </c>
      <c r="R101" s="5" t="str">
        <f>IF(Q101&gt;('Constants and exponents'!$F$44/100),"True","False")</f>
        <v>False</v>
      </c>
    </row>
  </sheetData>
  <phoneticPr fontId="5"/>
  <pageMargins left="0.75" right="0.75" top="1" bottom="1" header="0.5" footer="0.5"/>
  <pageSetup orientation="portrait" horizontalDpi="4294967292" verticalDpi="4294967292"/>
  <headerFooter alignWithMargins="0"/>
</worksheet>
</file>

<file path=docMetadata/LabelInfo.xml><?xml version="1.0" encoding="utf-8"?>
<clbl:labelList xmlns:clbl="http://schemas.microsoft.com/office/2020/mipLabelMetadata">
  <clbl:label id="{080ca090-da8c-4360-a3bc-148c3bd51ef5}" enabled="1" method="Standard" siteId="{ec37a091-b9a6-47e5-98d0-903d4a4192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 and exponents</vt:lpstr>
      <vt:lpstr>Simulate 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gunter</dc:creator>
  <cp:lastModifiedBy>Hammond, Sean</cp:lastModifiedBy>
  <cp:lastPrinted>2009-10-03T14:26:50Z</cp:lastPrinted>
  <dcterms:created xsi:type="dcterms:W3CDTF">2008-02-16T22:44:26Z</dcterms:created>
  <dcterms:modified xsi:type="dcterms:W3CDTF">2026-07-16T15:38:13Z</dcterms:modified>
</cp:coreProperties>
</file>