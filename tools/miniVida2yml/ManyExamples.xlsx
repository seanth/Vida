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th/Github/Vida/tools/miniVida2yml/"/>
    </mc:Choice>
  </mc:AlternateContent>
  <xr:revisionPtr revIDLastSave="0" documentId="8_{D68FC523-F0F4-9243-B8C6-6988B88BC6A6}" xr6:coauthVersionLast="47" xr6:coauthVersionMax="47" xr10:uidLastSave="{00000000-0000-0000-0000-000000000000}"/>
  <bookViews>
    <workbookView xWindow="0" yWindow="760" windowWidth="29400" windowHeight="18360" xr2:uid="{2F1019BC-AF05-154C-8000-A43F937A46AC}"/>
  </bookViews>
  <sheets>
    <sheet name="species14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L45" i="1"/>
  <c r="L40" i="1"/>
  <c r="C40" i="1"/>
  <c r="C39" i="1"/>
  <c r="C34" i="1"/>
  <c r="C33" i="1"/>
  <c r="C24" i="1"/>
  <c r="M45" i="1" l="1"/>
  <c r="S45" i="1" l="1"/>
  <c r="R45" i="1"/>
  <c r="T45" i="1" l="1"/>
  <c r="U45" i="1"/>
  <c r="K46" i="1"/>
  <c r="M46" i="1" s="1"/>
  <c r="L46" i="1"/>
  <c r="N45" i="1"/>
  <c r="V45" i="1"/>
  <c r="O45" i="1"/>
  <c r="P45" i="1" l="1"/>
  <c r="S46" i="1"/>
  <c r="N46" i="1" l="1"/>
  <c r="V46" i="1"/>
  <c r="O46" i="1"/>
  <c r="Q45" i="1"/>
  <c r="W45" i="1" s="1"/>
  <c r="P46" i="1"/>
  <c r="R46" i="1" l="1"/>
  <c r="Q46" i="1"/>
  <c r="W46" i="1" s="1"/>
  <c r="U46" i="1" l="1"/>
  <c r="K47" i="1" s="1"/>
  <c r="T46" i="1"/>
  <c r="M47" i="1" l="1"/>
  <c r="L47" i="1"/>
  <c r="S47" i="1" l="1"/>
  <c r="V47" i="1" l="1"/>
  <c r="N47" i="1"/>
  <c r="O47" i="1"/>
  <c r="P47" i="1" s="1"/>
  <c r="Q47" i="1" l="1"/>
  <c r="W47" i="1" s="1"/>
  <c r="R47" i="1"/>
  <c r="U47" i="1" l="1"/>
  <c r="K48" i="1"/>
  <c r="M48" i="1" s="1"/>
  <c r="T47" i="1"/>
  <c r="L48" i="1"/>
  <c r="S48" i="1" l="1"/>
  <c r="N48" i="1" l="1"/>
  <c r="V48" i="1"/>
  <c r="O48" i="1"/>
  <c r="P48" i="1" s="1"/>
  <c r="R48" i="1" l="1"/>
  <c r="Q48" i="1"/>
  <c r="W48" i="1" s="1"/>
  <c r="U48" i="1" l="1"/>
  <c r="T48" i="1"/>
  <c r="K49" i="1"/>
  <c r="M49" i="1" s="1"/>
  <c r="L49" i="1"/>
  <c r="S49" i="1" l="1"/>
  <c r="V49" i="1" l="1"/>
  <c r="N49" i="1"/>
  <c r="O49" i="1"/>
  <c r="P49" i="1" s="1"/>
  <c r="Q49" i="1" l="1"/>
  <c r="W49" i="1" s="1"/>
  <c r="R49" i="1"/>
  <c r="U49" i="1" l="1"/>
  <c r="K50" i="1"/>
  <c r="M50" i="1" s="1"/>
  <c r="T49" i="1"/>
  <c r="L50" i="1"/>
  <c r="S50" i="1" l="1"/>
  <c r="V50" i="1" l="1"/>
  <c r="O50" i="1"/>
  <c r="N50" i="1"/>
  <c r="P50" i="1" l="1"/>
  <c r="P51" i="1" l="1"/>
  <c r="Q50" i="1"/>
  <c r="W50" i="1" s="1"/>
  <c r="R50" i="1"/>
  <c r="K40" i="1" a="1"/>
  <c r="K40" i="1" s="1"/>
  <c r="U50" i="1" l="1"/>
  <c r="K51" i="1"/>
  <c r="M51" i="1" s="1"/>
  <c r="T50" i="1"/>
  <c r="L51" i="1"/>
  <c r="P52" i="1"/>
  <c r="R51" i="1"/>
  <c r="U51" i="1" l="1"/>
  <c r="T51" i="1"/>
  <c r="K52" i="1"/>
  <c r="P53" i="1"/>
  <c r="S51" i="1"/>
  <c r="L52" i="1"/>
  <c r="M52" i="1"/>
  <c r="S52" i="1" l="1"/>
  <c r="O51" i="1"/>
  <c r="Q51" i="1" s="1"/>
  <c r="N51" i="1"/>
  <c r="V51" i="1"/>
  <c r="P54" i="1"/>
  <c r="R52" i="1"/>
  <c r="T52" i="1" l="1"/>
  <c r="U52" i="1"/>
  <c r="K53" i="1" s="1"/>
  <c r="P55" i="1"/>
  <c r="W51" i="1"/>
  <c r="N52" i="1"/>
  <c r="O52" i="1"/>
  <c r="Q52" i="1" s="1"/>
  <c r="V52" i="1"/>
  <c r="M53" i="1" l="1"/>
  <c r="L53" i="1"/>
  <c r="P56" i="1"/>
  <c r="W52" i="1"/>
  <c r="P57" i="1" l="1"/>
  <c r="S53" i="1"/>
  <c r="R53" i="1"/>
  <c r="U53" i="1" l="1"/>
  <c r="T53" i="1"/>
  <c r="K54" i="1"/>
  <c r="M54" i="1" s="1"/>
  <c r="L54" i="1"/>
  <c r="V53" i="1"/>
  <c r="N53" i="1"/>
  <c r="O53" i="1"/>
  <c r="Q53" i="1" s="1"/>
  <c r="W53" i="1" s="1"/>
  <c r="P58" i="1"/>
  <c r="P59" i="1" l="1"/>
  <c r="S54" i="1"/>
  <c r="R54" i="1"/>
  <c r="U54" i="1" l="1"/>
  <c r="T54" i="1"/>
  <c r="K55" i="1"/>
  <c r="M55" i="1" s="1"/>
  <c r="L55" i="1"/>
  <c r="N54" i="1"/>
  <c r="O54" i="1"/>
  <c r="Q54" i="1" s="1"/>
  <c r="V54" i="1"/>
  <c r="P60" i="1"/>
  <c r="P61" i="1" l="1"/>
  <c r="W54" i="1"/>
  <c r="S55" i="1"/>
  <c r="R55" i="1"/>
  <c r="U55" i="1" l="1"/>
  <c r="K56" i="1" s="1"/>
  <c r="T55" i="1"/>
  <c r="V55" i="1"/>
  <c r="N55" i="1"/>
  <c r="O55" i="1"/>
  <c r="Q55" i="1" s="1"/>
  <c r="W55" i="1" s="1"/>
  <c r="P62" i="1"/>
  <c r="M56" i="1" l="1"/>
  <c r="L56" i="1"/>
  <c r="P63" i="1"/>
  <c r="P64" i="1" l="1"/>
  <c r="S56" i="1"/>
  <c r="R56" i="1"/>
  <c r="T56" i="1" l="1"/>
  <c r="U56" i="1"/>
  <c r="K57" i="1" s="1"/>
  <c r="O56" i="1"/>
  <c r="Q56" i="1" s="1"/>
  <c r="N56" i="1"/>
  <c r="V56" i="1"/>
  <c r="P65" i="1"/>
  <c r="M57" i="1" l="1"/>
  <c r="L57" i="1"/>
  <c r="P66" i="1"/>
  <c r="W56" i="1"/>
  <c r="P67" i="1" l="1"/>
  <c r="S57" i="1"/>
  <c r="R57" i="1"/>
  <c r="U57" i="1" l="1"/>
  <c r="T57" i="1"/>
  <c r="K58" i="1"/>
  <c r="M58" i="1" s="1"/>
  <c r="N57" i="1"/>
  <c r="V57" i="1"/>
  <c r="O57" i="1"/>
  <c r="Q57" i="1" s="1"/>
  <c r="W57" i="1" s="1"/>
  <c r="L58" i="1"/>
  <c r="P68" i="1"/>
  <c r="P69" i="1" l="1"/>
  <c r="S58" i="1"/>
  <c r="R58" i="1"/>
  <c r="U58" i="1" l="1"/>
  <c r="T58" i="1"/>
  <c r="K59" i="1"/>
  <c r="M59" i="1" s="1"/>
  <c r="V58" i="1"/>
  <c r="N58" i="1"/>
  <c r="O58" i="1"/>
  <c r="Q58" i="1" s="1"/>
  <c r="W58" i="1" s="1"/>
  <c r="L59" i="1"/>
  <c r="P70" i="1"/>
  <c r="P71" i="1" l="1"/>
  <c r="S59" i="1"/>
  <c r="R59" i="1"/>
  <c r="T59" i="1" l="1"/>
  <c r="U59" i="1"/>
  <c r="K60" i="1" s="1"/>
  <c r="N59" i="1"/>
  <c r="V59" i="1"/>
  <c r="O59" i="1"/>
  <c r="Q59" i="1" s="1"/>
  <c r="W59" i="1" s="1"/>
  <c r="P72" i="1"/>
  <c r="M60" i="1" l="1"/>
  <c r="L60" i="1"/>
  <c r="P73" i="1"/>
  <c r="P74" i="1" l="1"/>
  <c r="S60" i="1"/>
  <c r="R60" i="1"/>
  <c r="U60" i="1" l="1"/>
  <c r="K61" i="1"/>
  <c r="M61" i="1" s="1"/>
  <c r="T60" i="1"/>
  <c r="L61" i="1"/>
  <c r="N60" i="1"/>
  <c r="O60" i="1"/>
  <c r="Q60" i="1" s="1"/>
  <c r="W60" i="1" s="1"/>
  <c r="V60" i="1"/>
  <c r="P75" i="1"/>
  <c r="P76" i="1" l="1"/>
  <c r="S61" i="1"/>
  <c r="R61" i="1"/>
  <c r="T61" i="1" l="1"/>
  <c r="U61" i="1"/>
  <c r="K62" i="1"/>
  <c r="M62" i="1" s="1"/>
  <c r="L62" i="1"/>
  <c r="N61" i="1"/>
  <c r="V61" i="1"/>
  <c r="O61" i="1"/>
  <c r="Q61" i="1" s="1"/>
  <c r="W61" i="1" s="1"/>
  <c r="P77" i="1"/>
  <c r="P78" i="1" l="1"/>
  <c r="S62" i="1"/>
  <c r="R62" i="1"/>
  <c r="N62" i="1" l="1"/>
  <c r="O62" i="1"/>
  <c r="Q62" i="1" s="1"/>
  <c r="V62" i="1"/>
  <c r="T62" i="1"/>
  <c r="U62" i="1"/>
  <c r="K63" i="1"/>
  <c r="M63" i="1" s="1"/>
  <c r="L63" i="1"/>
  <c r="P79" i="1"/>
  <c r="P80" i="1" l="1"/>
  <c r="S63" i="1"/>
  <c r="R63" i="1"/>
  <c r="W62" i="1"/>
  <c r="T63" i="1" l="1"/>
  <c r="U63" i="1"/>
  <c r="K64" i="1" s="1"/>
  <c r="N63" i="1"/>
  <c r="O63" i="1"/>
  <c r="Q63" i="1" s="1"/>
  <c r="V63" i="1"/>
  <c r="P81" i="1"/>
  <c r="M64" i="1" l="1"/>
  <c r="L64" i="1"/>
  <c r="P82" i="1"/>
  <c r="W63" i="1"/>
  <c r="P83" i="1" l="1"/>
  <c r="S64" i="1"/>
  <c r="R64" i="1"/>
  <c r="T64" i="1" l="1"/>
  <c r="U64" i="1"/>
  <c r="K65" i="1"/>
  <c r="M65" i="1" s="1"/>
  <c r="L65" i="1"/>
  <c r="N64" i="1"/>
  <c r="O64" i="1"/>
  <c r="Q64" i="1" s="1"/>
  <c r="W64" i="1" s="1"/>
  <c r="V64" i="1"/>
  <c r="P84" i="1"/>
  <c r="P85" i="1" l="1"/>
  <c r="S65" i="1"/>
  <c r="R65" i="1"/>
  <c r="U65" i="1" l="1"/>
  <c r="K66" i="1"/>
  <c r="M66" i="1" s="1"/>
  <c r="T65" i="1"/>
  <c r="L66" i="1"/>
  <c r="N65" i="1"/>
  <c r="V65" i="1"/>
  <c r="O65" i="1"/>
  <c r="Q65" i="1" s="1"/>
  <c r="W65" i="1" s="1"/>
  <c r="P86" i="1"/>
  <c r="P87" i="1" l="1"/>
  <c r="S66" i="1"/>
  <c r="R66" i="1"/>
  <c r="T66" i="1" l="1"/>
  <c r="U66" i="1"/>
  <c r="K67" i="1" s="1"/>
  <c r="N66" i="1"/>
  <c r="V66" i="1"/>
  <c r="O66" i="1"/>
  <c r="Q66" i="1" s="1"/>
  <c r="W66" i="1" s="1"/>
  <c r="P88" i="1"/>
  <c r="M67" i="1" l="1"/>
  <c r="L67" i="1"/>
  <c r="P89" i="1"/>
  <c r="P90" i="1" l="1"/>
  <c r="S67" i="1"/>
  <c r="R67" i="1"/>
  <c r="U67" i="1" l="1"/>
  <c r="K68" i="1"/>
  <c r="M68" i="1" s="1"/>
  <c r="T67" i="1"/>
  <c r="L68" i="1"/>
  <c r="N67" i="1"/>
  <c r="V67" i="1"/>
  <c r="O67" i="1"/>
  <c r="Q67" i="1" s="1"/>
  <c r="W67" i="1" s="1"/>
  <c r="P91" i="1"/>
  <c r="P92" i="1" l="1"/>
  <c r="S68" i="1"/>
  <c r="R68" i="1"/>
  <c r="U68" i="1" l="1"/>
  <c r="K69" i="1"/>
  <c r="M69" i="1" s="1"/>
  <c r="T68" i="1"/>
  <c r="L69" i="1"/>
  <c r="N68" i="1"/>
  <c r="O68" i="1"/>
  <c r="Q68" i="1" s="1"/>
  <c r="V68" i="1"/>
  <c r="P93" i="1"/>
  <c r="P94" i="1" l="1"/>
  <c r="W68" i="1"/>
  <c r="S69" i="1"/>
  <c r="R69" i="1"/>
  <c r="N69" i="1" l="1"/>
  <c r="V69" i="1"/>
  <c r="O69" i="1"/>
  <c r="Q69" i="1" s="1"/>
  <c r="W69" i="1" s="1"/>
  <c r="T69" i="1"/>
  <c r="U69" i="1"/>
  <c r="K70" i="1" s="1"/>
  <c r="P95" i="1"/>
  <c r="M70" i="1" l="1"/>
  <c r="L70" i="1"/>
  <c r="P96" i="1"/>
  <c r="P97" i="1" l="1"/>
  <c r="S70" i="1"/>
  <c r="R70" i="1"/>
  <c r="N70" i="1" l="1"/>
  <c r="V70" i="1"/>
  <c r="O70" i="1"/>
  <c r="Q70" i="1" s="1"/>
  <c r="W70" i="1" s="1"/>
  <c r="U70" i="1"/>
  <c r="K71" i="1" s="1"/>
  <c r="T70" i="1"/>
  <c r="P98" i="1"/>
  <c r="M71" i="1" l="1"/>
  <c r="L71" i="1"/>
  <c r="P99" i="1"/>
  <c r="P100" i="1" l="1"/>
  <c r="S71" i="1"/>
  <c r="R71" i="1"/>
  <c r="P101" i="1" l="1"/>
  <c r="U71" i="1"/>
  <c r="K72" i="1"/>
  <c r="M72" i="1" s="1"/>
  <c r="T71" i="1"/>
  <c r="N71" i="1"/>
  <c r="V71" i="1"/>
  <c r="O71" i="1"/>
  <c r="Q71" i="1" s="1"/>
  <c r="W71" i="1" s="1"/>
  <c r="L72" i="1"/>
  <c r="S72" i="1" l="1"/>
  <c r="R72" i="1"/>
  <c r="P102" i="1"/>
  <c r="P103" i="1" l="1"/>
  <c r="T72" i="1"/>
  <c r="U72" i="1"/>
  <c r="K73" i="1"/>
  <c r="M73" i="1" s="1"/>
  <c r="O72" i="1"/>
  <c r="Q72" i="1" s="1"/>
  <c r="V72" i="1"/>
  <c r="N72" i="1"/>
  <c r="L73" i="1"/>
  <c r="W72" i="1" l="1"/>
  <c r="S73" i="1"/>
  <c r="R73" i="1"/>
  <c r="P104" i="1"/>
  <c r="P105" i="1" l="1"/>
  <c r="U73" i="1"/>
  <c r="K74" i="1"/>
  <c r="M74" i="1" s="1"/>
  <c r="T73" i="1"/>
  <c r="N73" i="1"/>
  <c r="V73" i="1"/>
  <c r="O73" i="1"/>
  <c r="Q73" i="1" s="1"/>
  <c r="W73" i="1" s="1"/>
  <c r="L74" i="1"/>
  <c r="S74" i="1" l="1"/>
  <c r="R74" i="1"/>
  <c r="P106" i="1"/>
  <c r="P107" i="1" l="1"/>
  <c r="T74" i="1"/>
  <c r="U74" i="1"/>
  <c r="K75" i="1"/>
  <c r="M75" i="1" s="1"/>
  <c r="V74" i="1"/>
  <c r="N74" i="1"/>
  <c r="O74" i="1"/>
  <c r="Q74" i="1" s="1"/>
  <c r="W74" i="1" s="1"/>
  <c r="L75" i="1"/>
  <c r="S75" i="1" l="1"/>
  <c r="R75" i="1"/>
  <c r="P108" i="1"/>
  <c r="P109" i="1" l="1"/>
  <c r="U75" i="1"/>
  <c r="K76" i="1"/>
  <c r="M76" i="1" s="1"/>
  <c r="T75" i="1"/>
  <c r="N75" i="1"/>
  <c r="O75" i="1"/>
  <c r="Q75" i="1" s="1"/>
  <c r="V75" i="1"/>
  <c r="L76" i="1"/>
  <c r="W75" i="1" l="1"/>
  <c r="S76" i="1"/>
  <c r="R76" i="1"/>
  <c r="P110" i="1"/>
  <c r="P111" i="1" l="1"/>
  <c r="T76" i="1"/>
  <c r="U76" i="1"/>
  <c r="K77" i="1"/>
  <c r="M77" i="1" s="1"/>
  <c r="O76" i="1"/>
  <c r="Q76" i="1" s="1"/>
  <c r="V76" i="1"/>
  <c r="N76" i="1"/>
  <c r="S77" i="1" l="1"/>
  <c r="R77" i="1"/>
  <c r="W76" i="1"/>
  <c r="L77" i="1"/>
  <c r="P112" i="1"/>
  <c r="P113" i="1" l="1"/>
  <c r="U77" i="1"/>
  <c r="K78" i="1"/>
  <c r="M78" i="1" s="1"/>
  <c r="T77" i="1"/>
  <c r="L78" i="1"/>
  <c r="N77" i="1"/>
  <c r="V77" i="1"/>
  <c r="O77" i="1"/>
  <c r="Q77" i="1" s="1"/>
  <c r="W77" i="1" s="1"/>
  <c r="S78" i="1" l="1"/>
  <c r="R78" i="1"/>
  <c r="P114" i="1"/>
  <c r="P115" i="1" l="1"/>
  <c r="U78" i="1"/>
  <c r="K79" i="1"/>
  <c r="M79" i="1" s="1"/>
  <c r="T78" i="1"/>
  <c r="L79" i="1"/>
  <c r="N78" i="1"/>
  <c r="O78" i="1"/>
  <c r="Q78" i="1" s="1"/>
  <c r="W78" i="1" s="1"/>
  <c r="V78" i="1"/>
  <c r="S79" i="1" l="1"/>
  <c r="R79" i="1"/>
  <c r="P116" i="1"/>
  <c r="P117" i="1" l="1"/>
  <c r="U79" i="1"/>
  <c r="T79" i="1"/>
  <c r="K80" i="1"/>
  <c r="M80" i="1" s="1"/>
  <c r="N79" i="1"/>
  <c r="V79" i="1"/>
  <c r="O79" i="1"/>
  <c r="Q79" i="1" s="1"/>
  <c r="W79" i="1" s="1"/>
  <c r="L80" i="1"/>
  <c r="S80" i="1" l="1"/>
  <c r="R80" i="1"/>
  <c r="P118" i="1"/>
  <c r="P119" i="1" l="1"/>
  <c r="T80" i="1"/>
  <c r="U80" i="1"/>
  <c r="K81" i="1" s="1"/>
  <c r="O80" i="1"/>
  <c r="Q80" i="1" s="1"/>
  <c r="V80" i="1"/>
  <c r="N80" i="1"/>
  <c r="M81" i="1" l="1"/>
  <c r="L81" i="1"/>
  <c r="W80" i="1"/>
  <c r="P120" i="1"/>
  <c r="P121" i="1" l="1"/>
  <c r="S81" i="1"/>
  <c r="R81" i="1"/>
  <c r="U81" i="1" l="1"/>
  <c r="K82" i="1" s="1"/>
  <c r="T81" i="1"/>
  <c r="O81" i="1"/>
  <c r="Q81" i="1" s="1"/>
  <c r="N81" i="1"/>
  <c r="V81" i="1"/>
  <c r="P122" i="1"/>
  <c r="M82" i="1" l="1"/>
  <c r="L82" i="1"/>
  <c r="P123" i="1"/>
  <c r="W81" i="1"/>
  <c r="P124" i="1" l="1"/>
  <c r="S82" i="1"/>
  <c r="R82" i="1"/>
  <c r="U82" i="1" l="1"/>
  <c r="K83" i="1" s="1"/>
  <c r="T82" i="1"/>
  <c r="N82" i="1"/>
  <c r="V82" i="1"/>
  <c r="O82" i="1"/>
  <c r="Q82" i="1" s="1"/>
  <c r="W82" i="1" s="1"/>
  <c r="P125" i="1"/>
  <c r="M83" i="1" l="1"/>
  <c r="L83" i="1"/>
  <c r="P126" i="1"/>
  <c r="P127" i="1" l="1"/>
  <c r="S83" i="1"/>
  <c r="R83" i="1"/>
  <c r="T83" i="1" l="1"/>
  <c r="U83" i="1"/>
  <c r="K84" i="1"/>
  <c r="M84" i="1" s="1"/>
  <c r="N83" i="1"/>
  <c r="V83" i="1"/>
  <c r="O83" i="1"/>
  <c r="Q83" i="1" s="1"/>
  <c r="W83" i="1" s="1"/>
  <c r="L84" i="1"/>
  <c r="P128" i="1"/>
  <c r="P129" i="1" l="1"/>
  <c r="S84" i="1"/>
  <c r="R84" i="1"/>
  <c r="T84" i="1" l="1"/>
  <c r="U84" i="1"/>
  <c r="K85" i="1" s="1"/>
  <c r="N84" i="1"/>
  <c r="V84" i="1"/>
  <c r="O84" i="1"/>
  <c r="Q84" i="1" s="1"/>
  <c r="W84" i="1" s="1"/>
  <c r="P130" i="1"/>
  <c r="M85" i="1" l="1"/>
  <c r="L85" i="1"/>
  <c r="P131" i="1"/>
  <c r="P132" i="1" l="1"/>
  <c r="S85" i="1"/>
  <c r="R85" i="1"/>
  <c r="V85" i="1" l="1"/>
  <c r="N85" i="1"/>
  <c r="O85" i="1"/>
  <c r="Q85" i="1" s="1"/>
  <c r="W85" i="1" s="1"/>
  <c r="T85" i="1"/>
  <c r="U85" i="1"/>
  <c r="K86" i="1" s="1"/>
  <c r="P133" i="1"/>
  <c r="M86" i="1" l="1"/>
  <c r="L86" i="1"/>
  <c r="P134" i="1"/>
  <c r="P135" i="1" l="1"/>
  <c r="S86" i="1"/>
  <c r="R86" i="1"/>
  <c r="T86" i="1" l="1"/>
  <c r="U86" i="1"/>
  <c r="K87" i="1" s="1"/>
  <c r="N86" i="1"/>
  <c r="V86" i="1"/>
  <c r="O86" i="1"/>
  <c r="Q86" i="1" s="1"/>
  <c r="W86" i="1" s="1"/>
  <c r="P136" i="1"/>
  <c r="M87" i="1" l="1"/>
  <c r="L87" i="1"/>
  <c r="P137" i="1"/>
  <c r="P138" i="1" l="1"/>
  <c r="S87" i="1"/>
  <c r="R87" i="1"/>
  <c r="U87" i="1" l="1"/>
  <c r="K88" i="1"/>
  <c r="M88" i="1" s="1"/>
  <c r="T87" i="1"/>
  <c r="L88" i="1"/>
  <c r="V87" i="1"/>
  <c r="N87" i="1"/>
  <c r="O87" i="1"/>
  <c r="Q87" i="1" s="1"/>
  <c r="W87" i="1" s="1"/>
  <c r="P139" i="1"/>
  <c r="P140" i="1" l="1"/>
  <c r="S88" i="1"/>
  <c r="R88" i="1"/>
  <c r="T88" i="1" l="1"/>
  <c r="U88" i="1"/>
  <c r="K89" i="1"/>
  <c r="M89" i="1" s="1"/>
  <c r="N88" i="1"/>
  <c r="O88" i="1"/>
  <c r="Q88" i="1" s="1"/>
  <c r="W88" i="1" s="1"/>
  <c r="V88" i="1"/>
  <c r="L89" i="1"/>
  <c r="P141" i="1"/>
  <c r="P142" i="1" l="1"/>
  <c r="S89" i="1"/>
  <c r="R89" i="1"/>
  <c r="U89" i="1" l="1"/>
  <c r="K90" i="1" s="1"/>
  <c r="T89" i="1"/>
  <c r="V89" i="1"/>
  <c r="O89" i="1"/>
  <c r="Q89" i="1" s="1"/>
  <c r="W89" i="1" s="1"/>
  <c r="N89" i="1"/>
  <c r="P143" i="1"/>
  <c r="M90" i="1" l="1"/>
  <c r="L90" i="1"/>
  <c r="P144" i="1"/>
  <c r="P145" i="1" l="1"/>
  <c r="S90" i="1"/>
  <c r="R90" i="1"/>
  <c r="T90" i="1" l="1"/>
  <c r="U90" i="1"/>
  <c r="K91" i="1" s="1"/>
  <c r="V90" i="1"/>
  <c r="N90" i="1"/>
  <c r="O90" i="1"/>
  <c r="Q90" i="1" s="1"/>
  <c r="W90" i="1" s="1"/>
  <c r="P146" i="1"/>
  <c r="M91" i="1" l="1"/>
  <c r="L91" i="1"/>
  <c r="S91" i="1" l="1"/>
  <c r="R91" i="1"/>
  <c r="T91" i="1" l="1"/>
  <c r="U91" i="1"/>
  <c r="K92" i="1" s="1"/>
  <c r="V91" i="1"/>
  <c r="N91" i="1"/>
  <c r="O91" i="1"/>
  <c r="Q91" i="1" s="1"/>
  <c r="W91" i="1" s="1"/>
  <c r="M92" i="1" l="1"/>
  <c r="L92" i="1"/>
  <c r="S92" i="1" l="1"/>
  <c r="R92" i="1"/>
  <c r="T92" i="1" l="1"/>
  <c r="U92" i="1"/>
  <c r="K93" i="1" s="1"/>
  <c r="N92" i="1"/>
  <c r="V92" i="1"/>
  <c r="O92" i="1"/>
  <c r="Q92" i="1" s="1"/>
  <c r="W92" i="1" s="1"/>
  <c r="M93" i="1" l="1"/>
  <c r="L93" i="1"/>
  <c r="S93" i="1" l="1"/>
  <c r="R93" i="1"/>
  <c r="U93" i="1" l="1"/>
  <c r="T93" i="1"/>
  <c r="K94" i="1"/>
  <c r="M94" i="1" s="1"/>
  <c r="L94" i="1"/>
  <c r="N93" i="1"/>
  <c r="O93" i="1"/>
  <c r="Q93" i="1" s="1"/>
  <c r="V93" i="1"/>
  <c r="W93" i="1" l="1"/>
  <c r="S94" i="1"/>
  <c r="R94" i="1"/>
  <c r="T94" i="1" l="1"/>
  <c r="U94" i="1"/>
  <c r="K95" i="1" s="1"/>
  <c r="O94" i="1"/>
  <c r="Q94" i="1" s="1"/>
  <c r="N94" i="1"/>
  <c r="V94" i="1"/>
  <c r="M95" i="1" l="1"/>
  <c r="L95" i="1"/>
  <c r="W94" i="1"/>
  <c r="S95" i="1" l="1"/>
  <c r="R95" i="1"/>
  <c r="T95" i="1" l="1"/>
  <c r="U95" i="1"/>
  <c r="K96" i="1"/>
  <c r="M96" i="1" s="1"/>
  <c r="V95" i="1"/>
  <c r="N95" i="1"/>
  <c r="O95" i="1"/>
  <c r="Q95" i="1" s="1"/>
  <c r="W95" i="1" s="1"/>
  <c r="L96" i="1"/>
  <c r="S96" i="1" l="1"/>
  <c r="R96" i="1"/>
  <c r="U96" i="1" l="1"/>
  <c r="K97" i="1"/>
  <c r="M97" i="1" s="1"/>
  <c r="T96" i="1"/>
  <c r="L97" i="1"/>
  <c r="V96" i="1"/>
  <c r="N96" i="1"/>
  <c r="O96" i="1"/>
  <c r="Q96" i="1" s="1"/>
  <c r="W96" i="1" s="1"/>
  <c r="S97" i="1" l="1"/>
  <c r="R97" i="1"/>
  <c r="T97" i="1" l="1"/>
  <c r="U97" i="1"/>
  <c r="K98" i="1" s="1"/>
  <c r="N97" i="1"/>
  <c r="V97" i="1"/>
  <c r="O97" i="1"/>
  <c r="Q97" i="1" s="1"/>
  <c r="W97" i="1" s="1"/>
  <c r="M98" i="1" l="1"/>
  <c r="L98" i="1"/>
  <c r="S98" i="1" l="1"/>
  <c r="R98" i="1"/>
  <c r="T98" i="1" l="1"/>
  <c r="U98" i="1"/>
  <c r="K99" i="1" s="1"/>
  <c r="O98" i="1"/>
  <c r="Q98" i="1" s="1"/>
  <c r="N98" i="1"/>
  <c r="V98" i="1"/>
  <c r="M99" i="1" l="1"/>
  <c r="L99" i="1"/>
  <c r="W98" i="1"/>
  <c r="S99" i="1" l="1"/>
  <c r="R99" i="1"/>
  <c r="T99" i="1" l="1"/>
  <c r="U99" i="1"/>
  <c r="K100" i="1" s="1"/>
  <c r="N99" i="1"/>
  <c r="O99" i="1"/>
  <c r="Q99" i="1" s="1"/>
  <c r="V99" i="1"/>
  <c r="M100" i="1" l="1"/>
  <c r="L100" i="1"/>
  <c r="W99" i="1"/>
  <c r="S100" i="1" l="1"/>
  <c r="R100" i="1"/>
  <c r="U100" i="1" l="1"/>
  <c r="K101" i="1"/>
  <c r="M101" i="1" s="1"/>
  <c r="T100" i="1"/>
  <c r="N100" i="1"/>
  <c r="O100" i="1"/>
  <c r="Q100" i="1" s="1"/>
  <c r="V100" i="1"/>
  <c r="L101" i="1"/>
  <c r="W100" i="1" l="1"/>
  <c r="S101" i="1"/>
  <c r="R101" i="1"/>
  <c r="U101" i="1" l="1"/>
  <c r="K102" i="1" s="1"/>
  <c r="T101" i="1"/>
  <c r="N101" i="1"/>
  <c r="O101" i="1"/>
  <c r="Q101" i="1" s="1"/>
  <c r="V101" i="1"/>
  <c r="M102" i="1" l="1"/>
  <c r="L102" i="1"/>
  <c r="W101" i="1"/>
  <c r="S102" i="1" l="1"/>
  <c r="R102" i="1"/>
  <c r="U102" i="1" l="1"/>
  <c r="K103" i="1"/>
  <c r="M103" i="1" s="1"/>
  <c r="T102" i="1"/>
  <c r="L103" i="1"/>
  <c r="N102" i="1"/>
  <c r="O102" i="1"/>
  <c r="Q102" i="1" s="1"/>
  <c r="V102" i="1"/>
  <c r="W102" i="1" l="1"/>
  <c r="S103" i="1"/>
  <c r="R103" i="1"/>
  <c r="T103" i="1" l="1"/>
  <c r="U103" i="1"/>
  <c r="K104" i="1" s="1"/>
  <c r="V103" i="1"/>
  <c r="N103" i="1"/>
  <c r="O103" i="1"/>
  <c r="Q103" i="1" s="1"/>
  <c r="W103" i="1" s="1"/>
  <c r="M104" i="1" l="1"/>
  <c r="L104" i="1"/>
  <c r="S104" i="1" l="1"/>
  <c r="R104" i="1"/>
  <c r="T104" i="1" l="1"/>
  <c r="U104" i="1"/>
  <c r="K105" i="1"/>
  <c r="M105" i="1" s="1"/>
  <c r="V104" i="1"/>
  <c r="O104" i="1"/>
  <c r="Q104" i="1" s="1"/>
  <c r="W104" i="1" s="1"/>
  <c r="N104" i="1"/>
  <c r="L105" i="1"/>
  <c r="S105" i="1" l="1"/>
  <c r="R105" i="1"/>
  <c r="T105" i="1" l="1"/>
  <c r="U105" i="1"/>
  <c r="K106" i="1"/>
  <c r="M106" i="1" s="1"/>
  <c r="L106" i="1"/>
  <c r="N105" i="1"/>
  <c r="O105" i="1"/>
  <c r="Q105" i="1" s="1"/>
  <c r="V105" i="1"/>
  <c r="W105" i="1" l="1"/>
  <c r="S106" i="1"/>
  <c r="R106" i="1"/>
  <c r="T106" i="1" l="1"/>
  <c r="U106" i="1"/>
  <c r="K107" i="1" s="1"/>
  <c r="N106" i="1"/>
  <c r="O106" i="1"/>
  <c r="Q106" i="1" s="1"/>
  <c r="V106" i="1"/>
  <c r="M107" i="1" l="1"/>
  <c r="L107" i="1"/>
  <c r="W106" i="1"/>
  <c r="S107" i="1" l="1"/>
  <c r="R107" i="1"/>
  <c r="T107" i="1" l="1"/>
  <c r="U107" i="1"/>
  <c r="K108" i="1"/>
  <c r="M108" i="1" s="1"/>
  <c r="V107" i="1"/>
  <c r="O107" i="1"/>
  <c r="Q107" i="1" s="1"/>
  <c r="W107" i="1" s="1"/>
  <c r="N107" i="1"/>
  <c r="L108" i="1"/>
  <c r="S108" i="1" l="1"/>
  <c r="R108" i="1"/>
  <c r="T108" i="1" l="1"/>
  <c r="U108" i="1"/>
  <c r="K109" i="1" s="1"/>
  <c r="O108" i="1"/>
  <c r="Q108" i="1" s="1"/>
  <c r="N108" i="1"/>
  <c r="V108" i="1"/>
  <c r="M109" i="1" l="1"/>
  <c r="L109" i="1"/>
  <c r="W108" i="1"/>
  <c r="S109" i="1" l="1"/>
  <c r="R109" i="1"/>
  <c r="U109" i="1" l="1"/>
  <c r="K110" i="1"/>
  <c r="M110" i="1" s="1"/>
  <c r="T109" i="1"/>
  <c r="L110" i="1"/>
  <c r="O109" i="1"/>
  <c r="Q109" i="1" s="1"/>
  <c r="V109" i="1"/>
  <c r="N109" i="1"/>
  <c r="W109" i="1" l="1"/>
  <c r="S110" i="1"/>
  <c r="R110" i="1"/>
  <c r="U110" i="1" l="1"/>
  <c r="K111" i="1"/>
  <c r="M111" i="1" s="1"/>
  <c r="T110" i="1"/>
  <c r="L111" i="1"/>
  <c r="V110" i="1"/>
  <c r="O110" i="1"/>
  <c r="Q110" i="1" s="1"/>
  <c r="W110" i="1" s="1"/>
  <c r="N110" i="1"/>
  <c r="S111" i="1" l="1"/>
  <c r="R111" i="1"/>
  <c r="T111" i="1" l="1"/>
  <c r="U111" i="1"/>
  <c r="K112" i="1" s="1"/>
  <c r="N111" i="1"/>
  <c r="O111" i="1"/>
  <c r="Q111" i="1" s="1"/>
  <c r="V111" i="1"/>
  <c r="M112" i="1" l="1"/>
  <c r="L112" i="1"/>
  <c r="W111" i="1"/>
  <c r="S112" i="1" l="1"/>
  <c r="R112" i="1"/>
  <c r="U112" i="1" l="1"/>
  <c r="K113" i="1"/>
  <c r="M113" i="1" s="1"/>
  <c r="T112" i="1"/>
  <c r="N112" i="1"/>
  <c r="V112" i="1"/>
  <c r="O112" i="1"/>
  <c r="Q112" i="1" s="1"/>
  <c r="W112" i="1" s="1"/>
  <c r="L113" i="1"/>
  <c r="S113" i="1" l="1"/>
  <c r="R113" i="1"/>
  <c r="T113" i="1" l="1"/>
  <c r="U113" i="1"/>
  <c r="K114" i="1" s="1"/>
  <c r="N113" i="1"/>
  <c r="V113" i="1"/>
  <c r="O113" i="1"/>
  <c r="Q113" i="1" s="1"/>
  <c r="W113" i="1" s="1"/>
  <c r="M114" i="1" l="1"/>
  <c r="L114" i="1"/>
  <c r="S114" i="1" l="1"/>
  <c r="R114" i="1"/>
  <c r="T114" i="1" l="1"/>
  <c r="U114" i="1"/>
  <c r="K115" i="1" s="1"/>
  <c r="N114" i="1"/>
  <c r="V114" i="1"/>
  <c r="O114" i="1"/>
  <c r="Q114" i="1" s="1"/>
  <c r="W114" i="1" s="1"/>
  <c r="M115" i="1" l="1"/>
  <c r="L115" i="1"/>
  <c r="S115" i="1" l="1"/>
  <c r="R115" i="1"/>
  <c r="U115" i="1" l="1"/>
  <c r="K116" i="1" s="1"/>
  <c r="T115" i="1"/>
  <c r="N115" i="1"/>
  <c r="V115" i="1"/>
  <c r="O115" i="1"/>
  <c r="Q115" i="1" s="1"/>
  <c r="W115" i="1" s="1"/>
  <c r="M116" i="1" l="1"/>
  <c r="L116" i="1"/>
  <c r="S116" i="1" l="1"/>
  <c r="R116" i="1"/>
  <c r="U116" i="1" l="1"/>
  <c r="T116" i="1"/>
  <c r="K117" i="1"/>
  <c r="M117" i="1" s="1"/>
  <c r="L117" i="1"/>
  <c r="V116" i="1"/>
  <c r="O116" i="1"/>
  <c r="Q116" i="1" s="1"/>
  <c r="W116" i="1" s="1"/>
  <c r="N116" i="1"/>
  <c r="S117" i="1" l="1"/>
  <c r="R117" i="1"/>
  <c r="U117" i="1" l="1"/>
  <c r="K118" i="1"/>
  <c r="M118" i="1" s="1"/>
  <c r="T117" i="1"/>
  <c r="O117" i="1"/>
  <c r="Q117" i="1" s="1"/>
  <c r="N117" i="1"/>
  <c r="V117" i="1"/>
  <c r="L118" i="1"/>
  <c r="W117" i="1" l="1"/>
  <c r="S118" i="1"/>
  <c r="R118" i="1"/>
  <c r="T118" i="1" l="1"/>
  <c r="U118" i="1"/>
  <c r="K119" i="1" s="1"/>
  <c r="N118" i="1"/>
  <c r="O118" i="1"/>
  <c r="Q118" i="1" s="1"/>
  <c r="V118" i="1"/>
  <c r="M119" i="1" l="1"/>
  <c r="L119" i="1"/>
  <c r="W118" i="1"/>
  <c r="S119" i="1" l="1"/>
  <c r="R119" i="1"/>
  <c r="T119" i="1" l="1"/>
  <c r="U119" i="1"/>
  <c r="K120" i="1" s="1"/>
  <c r="N119" i="1"/>
  <c r="O119" i="1"/>
  <c r="Q119" i="1" s="1"/>
  <c r="V119" i="1"/>
  <c r="M120" i="1" l="1"/>
  <c r="L120" i="1"/>
  <c r="W119" i="1"/>
  <c r="S120" i="1" l="1"/>
  <c r="R120" i="1"/>
  <c r="T120" i="1" l="1"/>
  <c r="U120" i="1"/>
  <c r="K121" i="1"/>
  <c r="M121" i="1" s="1"/>
  <c r="L121" i="1"/>
  <c r="N120" i="1"/>
  <c r="V120" i="1"/>
  <c r="O120" i="1"/>
  <c r="Q120" i="1" s="1"/>
  <c r="W120" i="1" s="1"/>
  <c r="S121" i="1" l="1"/>
  <c r="R121" i="1"/>
  <c r="U121" i="1" l="1"/>
  <c r="K122" i="1"/>
  <c r="M122" i="1" s="1"/>
  <c r="T121" i="1"/>
  <c r="L122" i="1"/>
  <c r="V121" i="1"/>
  <c r="O121" i="1"/>
  <c r="Q121" i="1" s="1"/>
  <c r="W121" i="1" s="1"/>
  <c r="N121" i="1"/>
  <c r="S122" i="1" l="1"/>
  <c r="R122" i="1"/>
  <c r="T122" i="1" l="1"/>
  <c r="U122" i="1"/>
  <c r="K123" i="1" s="1"/>
  <c r="N122" i="1"/>
  <c r="O122" i="1"/>
  <c r="Q122" i="1" s="1"/>
  <c r="V122" i="1"/>
  <c r="M123" i="1" l="1"/>
  <c r="L123" i="1"/>
  <c r="W122" i="1"/>
  <c r="S123" i="1" l="1"/>
  <c r="R123" i="1"/>
  <c r="U123" i="1" l="1"/>
  <c r="K124" i="1"/>
  <c r="M124" i="1" s="1"/>
  <c r="T123" i="1"/>
  <c r="L124" i="1"/>
  <c r="V123" i="1"/>
  <c r="N123" i="1"/>
  <c r="O123" i="1"/>
  <c r="Q123" i="1" s="1"/>
  <c r="W123" i="1" s="1"/>
  <c r="S124" i="1" l="1"/>
  <c r="R124" i="1"/>
  <c r="T124" i="1" l="1"/>
  <c r="U124" i="1"/>
  <c r="K125" i="1" s="1"/>
  <c r="N124" i="1"/>
  <c r="V124" i="1"/>
  <c r="O124" i="1"/>
  <c r="Q124" i="1" s="1"/>
  <c r="W124" i="1" s="1"/>
  <c r="M125" i="1" l="1"/>
  <c r="L125" i="1"/>
  <c r="S125" i="1" l="1"/>
  <c r="R125" i="1"/>
  <c r="T125" i="1" l="1"/>
  <c r="U125" i="1"/>
  <c r="K126" i="1"/>
  <c r="M126" i="1" s="1"/>
  <c r="L126" i="1"/>
  <c r="O125" i="1"/>
  <c r="Q125" i="1" s="1"/>
  <c r="V125" i="1"/>
  <c r="N125" i="1"/>
  <c r="W125" i="1" l="1"/>
  <c r="S126" i="1"/>
  <c r="R126" i="1"/>
  <c r="U126" i="1" l="1"/>
  <c r="K127" i="1"/>
  <c r="M127" i="1" s="1"/>
  <c r="T126" i="1"/>
  <c r="V126" i="1"/>
  <c r="N126" i="1"/>
  <c r="O126" i="1"/>
  <c r="Q126" i="1" s="1"/>
  <c r="W126" i="1" s="1"/>
  <c r="L127" i="1"/>
  <c r="S127" i="1" l="1"/>
  <c r="R127" i="1"/>
  <c r="T127" i="1" l="1"/>
  <c r="U127" i="1"/>
  <c r="K128" i="1"/>
  <c r="M128" i="1" s="1"/>
  <c r="N127" i="1"/>
  <c r="V127" i="1"/>
  <c r="O127" i="1"/>
  <c r="Q127" i="1" s="1"/>
  <c r="W127" i="1" s="1"/>
  <c r="L128" i="1"/>
  <c r="S128" i="1" l="1"/>
  <c r="R128" i="1"/>
  <c r="U128" i="1" l="1"/>
  <c r="K129" i="1"/>
  <c r="M129" i="1" s="1"/>
  <c r="T128" i="1"/>
  <c r="O128" i="1"/>
  <c r="Q128" i="1" s="1"/>
  <c r="N128" i="1"/>
  <c r="V128" i="1"/>
  <c r="L129" i="1"/>
  <c r="W128" i="1" l="1"/>
  <c r="S129" i="1"/>
  <c r="R129" i="1"/>
  <c r="U129" i="1" l="1"/>
  <c r="K130" i="1" s="1"/>
  <c r="T129" i="1"/>
  <c r="N129" i="1"/>
  <c r="O129" i="1"/>
  <c r="Q129" i="1" s="1"/>
  <c r="V129" i="1"/>
  <c r="M130" i="1" l="1"/>
  <c r="L130" i="1"/>
  <c r="W129" i="1"/>
  <c r="S130" i="1" l="1"/>
  <c r="R130" i="1"/>
  <c r="T130" i="1" l="1"/>
  <c r="U130" i="1"/>
  <c r="K131" i="1" s="1"/>
  <c r="N130" i="1"/>
  <c r="O130" i="1"/>
  <c r="Q130" i="1" s="1"/>
  <c r="V130" i="1"/>
  <c r="M131" i="1" l="1"/>
  <c r="L131" i="1"/>
  <c r="W130" i="1"/>
  <c r="S131" i="1" l="1"/>
  <c r="R131" i="1"/>
  <c r="U131" i="1" l="1"/>
  <c r="K132" i="1"/>
  <c r="M132" i="1" s="1"/>
  <c r="T131" i="1"/>
  <c r="L132" i="1"/>
  <c r="O131" i="1"/>
  <c r="Q131" i="1" s="1"/>
  <c r="N131" i="1"/>
  <c r="V131" i="1"/>
  <c r="W131" i="1" l="1"/>
  <c r="S132" i="1"/>
  <c r="R132" i="1"/>
  <c r="T132" i="1" l="1"/>
  <c r="U132" i="1"/>
  <c r="K133" i="1"/>
  <c r="M133" i="1" s="1"/>
  <c r="O132" i="1"/>
  <c r="Q132" i="1" s="1"/>
  <c r="N132" i="1"/>
  <c r="V132" i="1"/>
  <c r="L133" i="1"/>
  <c r="W132" i="1" l="1"/>
  <c r="S133" i="1"/>
  <c r="R133" i="1"/>
  <c r="U133" i="1" l="1"/>
  <c r="K134" i="1" s="1"/>
  <c r="T133" i="1"/>
  <c r="N133" i="1"/>
  <c r="O133" i="1"/>
  <c r="Q133" i="1" s="1"/>
  <c r="V133" i="1"/>
  <c r="M134" i="1" l="1"/>
  <c r="L134" i="1"/>
  <c r="W133" i="1"/>
  <c r="S134" i="1" l="1"/>
  <c r="R134" i="1"/>
  <c r="T134" i="1" l="1"/>
  <c r="U134" i="1"/>
  <c r="K135" i="1"/>
  <c r="M135" i="1" s="1"/>
  <c r="O134" i="1"/>
  <c r="Q134" i="1" s="1"/>
  <c r="V134" i="1"/>
  <c r="N134" i="1"/>
  <c r="L135" i="1"/>
  <c r="W134" i="1" l="1"/>
  <c r="S135" i="1"/>
  <c r="R135" i="1"/>
  <c r="T135" i="1" l="1"/>
  <c r="U135" i="1"/>
  <c r="K136" i="1"/>
  <c r="M136" i="1" s="1"/>
  <c r="L136" i="1"/>
  <c r="V135" i="1"/>
  <c r="N135" i="1"/>
  <c r="O135" i="1"/>
  <c r="Q135" i="1" s="1"/>
  <c r="W135" i="1" s="1"/>
  <c r="S136" i="1" l="1"/>
  <c r="R136" i="1"/>
  <c r="T136" i="1" l="1"/>
  <c r="U136" i="1"/>
  <c r="K137" i="1" s="1"/>
  <c r="V136" i="1"/>
  <c r="N136" i="1"/>
  <c r="O136" i="1"/>
  <c r="Q136" i="1" s="1"/>
  <c r="W136" i="1" s="1"/>
  <c r="M137" i="1" l="1"/>
  <c r="L137" i="1"/>
  <c r="S137" i="1" l="1"/>
  <c r="R137" i="1"/>
  <c r="T137" i="1" l="1"/>
  <c r="U137" i="1"/>
  <c r="K138" i="1" s="1"/>
  <c r="V137" i="1"/>
  <c r="N137" i="1"/>
  <c r="O137" i="1"/>
  <c r="Q137" i="1" s="1"/>
  <c r="W137" i="1" s="1"/>
  <c r="M138" i="1" l="1"/>
  <c r="L138" i="1"/>
  <c r="S138" i="1" l="1"/>
  <c r="R138" i="1"/>
  <c r="U138" i="1" l="1"/>
  <c r="T138" i="1"/>
  <c r="K139" i="1"/>
  <c r="M139" i="1" s="1"/>
  <c r="L139" i="1"/>
  <c r="O138" i="1"/>
  <c r="Q138" i="1" s="1"/>
  <c r="N138" i="1"/>
  <c r="V138" i="1"/>
  <c r="W138" i="1" l="1"/>
  <c r="S139" i="1"/>
  <c r="R139" i="1"/>
  <c r="T139" i="1" l="1"/>
  <c r="U139" i="1"/>
  <c r="K140" i="1" s="1"/>
  <c r="N139" i="1"/>
  <c r="O139" i="1"/>
  <c r="Q139" i="1" s="1"/>
  <c r="V139" i="1"/>
  <c r="M140" i="1" l="1"/>
  <c r="L140" i="1"/>
  <c r="W139" i="1"/>
  <c r="S140" i="1" l="1"/>
  <c r="R140" i="1"/>
  <c r="T140" i="1" l="1"/>
  <c r="U140" i="1"/>
  <c r="K141" i="1"/>
  <c r="M141" i="1" s="1"/>
  <c r="L141" i="1"/>
  <c r="V140" i="1"/>
  <c r="O140" i="1"/>
  <c r="Q140" i="1" s="1"/>
  <c r="W140" i="1" s="1"/>
  <c r="N140" i="1"/>
  <c r="S141" i="1" l="1"/>
  <c r="R141" i="1"/>
  <c r="T141" i="1" l="1"/>
  <c r="U141" i="1"/>
  <c r="K142" i="1"/>
  <c r="M142" i="1" s="1"/>
  <c r="L142" i="1"/>
  <c r="N141" i="1"/>
  <c r="O141" i="1"/>
  <c r="Q141" i="1" s="1"/>
  <c r="V141" i="1"/>
  <c r="W141" i="1" l="1"/>
  <c r="S142" i="1"/>
  <c r="R142" i="1"/>
  <c r="T142" i="1" l="1"/>
  <c r="U142" i="1"/>
  <c r="K143" i="1" s="1"/>
  <c r="O142" i="1"/>
  <c r="Q142" i="1" s="1"/>
  <c r="N142" i="1"/>
  <c r="V142" i="1"/>
  <c r="M143" i="1" l="1"/>
  <c r="L143" i="1"/>
  <c r="W142" i="1"/>
  <c r="S143" i="1" l="1"/>
  <c r="R143" i="1"/>
  <c r="T143" i="1" l="1"/>
  <c r="U143" i="1"/>
  <c r="K144" i="1" s="1"/>
  <c r="O143" i="1"/>
  <c r="Q143" i="1" s="1"/>
  <c r="N143" i="1"/>
  <c r="V143" i="1"/>
  <c r="M144" i="1" l="1"/>
  <c r="L144" i="1"/>
  <c r="W143" i="1"/>
  <c r="S144" i="1" l="1"/>
  <c r="R144" i="1"/>
  <c r="U144" i="1" l="1"/>
  <c r="K145" i="1"/>
  <c r="M145" i="1" s="1"/>
  <c r="T144" i="1"/>
  <c r="N144" i="1"/>
  <c r="V144" i="1"/>
  <c r="O144" i="1"/>
  <c r="Q144" i="1" s="1"/>
  <c r="W144" i="1" s="1"/>
  <c r="S145" i="1" l="1"/>
  <c r="R145" i="1"/>
  <c r="L145" i="1"/>
  <c r="T145" i="1" l="1"/>
  <c r="U145" i="1"/>
  <c r="K146" i="1" s="1"/>
  <c r="V145" i="1"/>
  <c r="O145" i="1"/>
  <c r="Q145" i="1" s="1"/>
  <c r="W145" i="1" s="1"/>
  <c r="N145" i="1"/>
  <c r="M146" i="1" l="1"/>
  <c r="L146" i="1"/>
  <c r="S146" i="1" l="1"/>
  <c r="R146" i="1"/>
  <c r="T146" i="1" l="1"/>
  <c r="U146" i="1"/>
  <c r="N146" i="1"/>
  <c r="O146" i="1"/>
  <c r="Q146" i="1" s="1"/>
  <c r="W146" i="1" s="1"/>
  <c r="K41" i="1" s="1"/>
  <c r="V1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507F8BC3-BCD6-ED40-A3C2-6CD241AF7818}">
      <text>
        <r>
          <rPr>
            <sz val="10"/>
            <color rgb="FF000000"/>
            <rFont val="Verdana"/>
            <family val="2"/>
          </rPr>
          <t>speciesConstant1</t>
        </r>
      </text>
    </comment>
    <comment ref="B4" authorId="0" shapeId="0" xr:uid="{A38F10AD-5B24-4445-A23B-55A57AC99168}">
      <text>
        <r>
          <rPr>
            <sz val="10"/>
            <color rgb="FF000000"/>
            <rFont val="Verdana"/>
            <family val="2"/>
          </rPr>
          <t>speciesExponent1</t>
        </r>
      </text>
    </comment>
    <comment ref="B7" authorId="0" shapeId="0" xr:uid="{BE73163A-38FB-4749-9277-76C498676AE1}">
      <text>
        <r>
          <rPr>
            <sz val="10"/>
            <color rgb="FF000000"/>
            <rFont val="Verdana"/>
            <family val="2"/>
          </rPr>
          <t>speciesConstant2</t>
        </r>
      </text>
    </comment>
    <comment ref="B8" authorId="0" shapeId="0" xr:uid="{73702A16-4658-054C-AF32-C5172E1ABE2D}">
      <text>
        <r>
          <rPr>
            <sz val="10"/>
            <color rgb="FF000000"/>
            <rFont val="Verdana"/>
            <family val="2"/>
          </rPr>
          <t>speciesExponent2</t>
        </r>
      </text>
    </comment>
    <comment ref="H8" authorId="0" shapeId="0" xr:uid="{1F0A2CCD-59D6-5D46-82C7-1756F0275FF7}">
      <text>
        <r>
          <rPr>
            <sz val="10"/>
            <color rgb="FF000000"/>
            <rFont val="Verdana"/>
            <family val="2"/>
          </rPr>
          <t xml:space="preserve">Sean T. Hammond:
There is a age bias in data where mature individuals are sampled more than very young individuals. More studies are starting to be done on younger trees.
</t>
        </r>
      </text>
    </comment>
    <comment ref="B11" authorId="0" shapeId="0" xr:uid="{2C93E3CF-D0B9-CD42-B048-EAC8E7F25005}">
      <text>
        <r>
          <rPr>
            <sz val="10"/>
            <color rgb="FF000000"/>
            <rFont val="Verdana"/>
            <family val="2"/>
          </rPr>
          <t>speciesConstant3</t>
        </r>
      </text>
    </comment>
    <comment ref="B12" authorId="0" shapeId="0" xr:uid="{D8FB1A27-0FE3-4F46-8020-0FF208BF3A6A}">
      <text>
        <r>
          <rPr>
            <sz val="10"/>
            <color rgb="FF000000"/>
            <rFont val="Verdana"/>
            <family val="2"/>
          </rPr>
          <t>speciesExponent3</t>
        </r>
      </text>
    </comment>
    <comment ref="B15" authorId="0" shapeId="0" xr:uid="{9DCFE01B-BE14-1C4F-BA66-A45CC2E6D87D}">
      <text>
        <r>
          <rPr>
            <sz val="10"/>
            <color rgb="FF000000"/>
            <rFont val="Verdana"/>
            <family val="2"/>
          </rPr>
          <t>speciesConstant20</t>
        </r>
      </text>
    </comment>
    <comment ref="B16" authorId="0" shapeId="0" xr:uid="{D951CE0B-51FF-2449-B0AE-0DDA4BDFEE66}">
      <text>
        <r>
          <rPr>
            <sz val="10"/>
            <color rgb="FF000000"/>
            <rFont val="Verdana"/>
            <family val="2"/>
          </rPr>
          <t>speciesExponent20</t>
        </r>
      </text>
    </comment>
    <comment ref="B19" authorId="0" shapeId="0" xr:uid="{2EC71DB0-BFD7-4547-B9D1-98AAFE595A19}">
      <text>
        <r>
          <rPr>
            <sz val="10"/>
            <color rgb="FF000000"/>
            <rFont val="Verdana"/>
            <family val="2"/>
          </rPr>
          <t>speciesConstant7</t>
        </r>
      </text>
    </comment>
    <comment ref="B20" authorId="0" shapeId="0" xr:uid="{77E3268B-BFE3-684E-9AE1-89C8DE22E1DE}">
      <text>
        <r>
          <rPr>
            <sz val="10"/>
            <color rgb="FF000000"/>
            <rFont val="Verdana"/>
            <family val="2"/>
          </rPr>
          <t>speciesExponent7</t>
        </r>
      </text>
    </comment>
    <comment ref="H20" authorId="0" shapeId="0" xr:uid="{E0222B2D-3475-B44A-B65A-90582E747064}">
      <text>
        <r>
          <rPr>
            <sz val="10"/>
            <color rgb="FF000000"/>
            <rFont val="Verdana"/>
            <family val="2"/>
          </rPr>
          <t xml:space="preserve">Sean T. Hammond:
This value is almost certainly an artifact of poorly screened data and overlapping (and different) mature growth curves.
</t>
        </r>
      </text>
    </comment>
    <comment ref="B21" authorId="0" shapeId="0" xr:uid="{039AD739-5625-C842-B38D-B1E796077081}">
      <text>
        <r>
          <rPr>
            <sz val="10"/>
            <color rgb="FF000000"/>
            <rFont val="Verdana"/>
            <family val="2"/>
          </rPr>
          <t>speciesConstant6</t>
        </r>
      </text>
    </comment>
    <comment ref="B24" authorId="0" shapeId="0" xr:uid="{F889F81A-DE47-0F44-AE22-FDD47DDF90C0}">
      <text>
        <r>
          <rPr>
            <sz val="10"/>
            <color rgb="FF000000"/>
            <rFont val="Verdana"/>
            <family val="2"/>
          </rPr>
          <t>heightStemMax</t>
        </r>
      </text>
    </comment>
    <comment ref="B25" authorId="0" shapeId="0" xr:uid="{FF541E83-8772-5544-9ADC-768C888E5C58}">
      <text>
        <r>
          <rPr>
            <sz val="10"/>
            <color rgb="FF000000"/>
            <rFont val="Verdana"/>
            <family val="2"/>
          </rPr>
          <t>speciesConstant8</t>
        </r>
      </text>
    </comment>
    <comment ref="C31" authorId="0" shapeId="0" xr:uid="{3932ED7F-646E-A14E-ACF7-9100EF47BFAE}">
      <text>
        <r>
          <rPr>
            <sz val="10"/>
            <color rgb="FF000000"/>
            <rFont val="Verdana"/>
            <family val="2"/>
          </rPr>
          <t>Sean T. Hammond:
I do not recommend you change this value</t>
        </r>
      </text>
    </comment>
    <comment ref="C32" authorId="0" shapeId="0" xr:uid="{3426E026-2F50-CF42-AFFF-0D74000BA940}">
      <text>
        <r>
          <rPr>
            <sz val="10"/>
            <color rgb="FF000000"/>
            <rFont val="Verdana"/>
            <family val="2"/>
          </rPr>
          <t>Sean T. Hammond:
Do not change this unless you understand how Vida calculates canopy spread</t>
        </r>
      </text>
    </comment>
    <comment ref="B33" authorId="0" shapeId="0" xr:uid="{FA2D8CDB-8998-F04E-BA42-9628734B40A2}">
      <text>
        <r>
          <rPr>
            <sz val="10"/>
            <color rgb="FF000000"/>
            <rFont val="Verdana"/>
            <family val="2"/>
          </rPr>
          <t>densityStem</t>
        </r>
      </text>
    </comment>
    <comment ref="B34" authorId="0" shapeId="0" xr:uid="{62F24922-DBB1-EA40-AE6E-4B339D72F7E6}">
      <text>
        <r>
          <rPr>
            <sz val="10"/>
            <color rgb="FF000000"/>
            <rFont val="Verdana"/>
            <family val="2"/>
          </rPr>
          <t>youngsModulusStem</t>
        </r>
      </text>
    </comment>
    <comment ref="C35" authorId="0" shapeId="0" xr:uid="{69EC865F-338D-8345-B8AB-AC0580F10927}">
      <text>
        <r>
          <rPr>
            <sz val="10"/>
            <color rgb="FF000000"/>
            <rFont val="Verdana"/>
            <family val="2"/>
          </rPr>
          <t>Sean T. Hammond:
Do not change this unless you understand how Vida calculates canopy spread</t>
        </r>
      </text>
    </comment>
    <comment ref="B37" authorId="0" shapeId="0" xr:uid="{1F4D6E57-E2D3-D04E-88AC-F9DB1E6A48DF}">
      <text>
        <r>
          <rPr>
            <sz val="10"/>
            <color rgb="FF000000"/>
            <rFont val="Verdana"/>
            <family val="2"/>
          </rPr>
          <t>fractionCarbonToStem</t>
        </r>
      </text>
    </comment>
  </commentList>
</comments>
</file>

<file path=xl/sharedStrings.xml><?xml version="1.0" encoding="utf-8"?>
<sst xmlns="http://schemas.openxmlformats.org/spreadsheetml/2006/main" count="78" uniqueCount="63">
  <si>
    <t>Suggested values</t>
  </si>
  <si>
    <t>Woody mass from total mass</t>
  </si>
  <si>
    <t>Edit these    \/</t>
  </si>
  <si>
    <t>STH suggestions</t>
  </si>
  <si>
    <t>Average Angiosperm</t>
  </si>
  <si>
    <t>Average Gymnosperm</t>
  </si>
  <si>
    <t>Allometric theory</t>
  </si>
  <si>
    <t>Ms=ß1*Mt^a1</t>
  </si>
  <si>
    <t>ß1=</t>
  </si>
  <si>
    <t>NA</t>
  </si>
  <si>
    <t>a1=</t>
  </si>
  <si>
    <t>Canopy mass(young) from woody mass</t>
  </si>
  <si>
    <t>Mlyoung=ß2*Ms^a2</t>
  </si>
  <si>
    <t>ß2=</t>
  </si>
  <si>
    <t>a2=</t>
  </si>
  <si>
    <t>Canopy mass(mature) from woody mass</t>
  </si>
  <si>
    <t>Mlmature=ß3*Ms^a3</t>
  </si>
  <si>
    <t>ß3=</t>
  </si>
  <si>
    <t>a3=</t>
  </si>
  <si>
    <t>0.75 for angiosperms, 0.8 for gymnosperms</t>
  </si>
  <si>
    <t>Woody diameter from woody mass</t>
  </si>
  <si>
    <t>Ds=ß4*Ms^a4</t>
  </si>
  <si>
    <t>ß4</t>
  </si>
  <si>
    <t>a4</t>
  </si>
  <si>
    <t>Tree height(young) from woody diameter</t>
  </si>
  <si>
    <t>Hsyoung=(ß5*Ds^a5)-ß6</t>
  </si>
  <si>
    <t>ß5</t>
  </si>
  <si>
    <t>a5</t>
  </si>
  <si>
    <t>ß6</t>
  </si>
  <si>
    <t>Tree height(mature) from woody diameter</t>
  </si>
  <si>
    <t>Hsmature=ß7 + ß8 ln Ds</t>
  </si>
  <si>
    <t>ß7 (max height)</t>
  </si>
  <si>
    <t>Look up</t>
  </si>
  <si>
    <t>ß8</t>
  </si>
  <si>
    <t>Total growth from projected area and canopy mass</t>
  </si>
  <si>
    <t>Gt=Alprojected*[ß9*(Ml^a)]</t>
  </si>
  <si>
    <t>ß9</t>
  </si>
  <si>
    <t>a6</t>
  </si>
  <si>
    <t>IdealSeedlingMass</t>
  </si>
  <si>
    <t>DensityLeaf:</t>
  </si>
  <si>
    <t>~900</t>
  </si>
  <si>
    <t>DensityStem:</t>
  </si>
  <si>
    <t>YoungsModStem:</t>
  </si>
  <si>
    <t>HeightLeaf:</t>
  </si>
  <si>
    <t>fractStem@germ:</t>
  </si>
  <si>
    <t>waterTolerance:</t>
  </si>
  <si>
    <t>droughtTolerance:</t>
  </si>
  <si>
    <t>Projected age of maturity (years):</t>
  </si>
  <si>
    <t>Warnings:</t>
  </si>
  <si>
    <t>Cycle</t>
  </si>
  <si>
    <t>Gnew</t>
  </si>
  <si>
    <t>Mt</t>
  </si>
  <si>
    <t>Ms</t>
  </si>
  <si>
    <t>Hs young</t>
  </si>
  <si>
    <t>Hs mature</t>
  </si>
  <si>
    <t>Mature?</t>
  </si>
  <si>
    <t>Hs</t>
  </si>
  <si>
    <t>Ml</t>
  </si>
  <si>
    <t>Ds</t>
  </si>
  <si>
    <t>old canonpy radius</t>
  </si>
  <si>
    <t>Alprojected</t>
  </si>
  <si>
    <t>Hcrit</t>
  </si>
  <si>
    <t>Violate Euler?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</si>
</sst>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rgb="FFDD0806"/>
      <name val="Verdana"/>
      <family val="2"/>
    </font>
    <font>
      <i/>
      <sz val="10"/>
      <color theme="1"/>
      <name val="Verdana"/>
      <family val="2"/>
    </font>
    <font>
      <sz val="10"/>
      <color theme="1"/>
      <name val="Calibri"/>
      <family val="2"/>
    </font>
    <font>
      <b/>
      <sz val="10"/>
      <color rgb="FFFF0000"/>
      <name val="Verdana"/>
      <family val="2"/>
    </font>
  </fonts>
  <fills count="22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E5DFEC"/>
        <bgColor rgb="FFE5DFEC"/>
      </patternFill>
    </fill>
    <fill>
      <patternFill patternType="solid">
        <fgColor rgb="FFCCC0D9"/>
        <bgColor rgb="FFCCC0D9"/>
      </patternFill>
    </fill>
    <fill>
      <patternFill patternType="solid">
        <fgColor rgb="FFBFBFBF"/>
        <bgColor rgb="FFBFBFBF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76923C"/>
        <bgColor rgb="FF76923C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DDD9C3"/>
        <bgColor rgb="FFDDD9C3"/>
      </patternFill>
    </fill>
    <fill>
      <patternFill patternType="solid">
        <fgColor rgb="FFC4BD97"/>
        <bgColor rgb="FFC4BD97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3" borderId="2" xfId="0" applyFont="1" applyFill="1" applyBorder="1"/>
    <xf numFmtId="0" fontId="3" fillId="3" borderId="2" xfId="0" applyFont="1" applyFill="1" applyBorder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2" fillId="4" borderId="1" xfId="0" applyFont="1" applyFill="1" applyBorder="1"/>
    <xf numFmtId="0" fontId="3" fillId="4" borderId="1" xfId="0" applyFont="1" applyFill="1" applyBorder="1"/>
    <xf numFmtId="0" fontId="2" fillId="5" borderId="3" xfId="0" applyFont="1" applyFill="1" applyBorder="1" applyAlignment="1">
      <alignment wrapText="1"/>
    </xf>
    <xf numFmtId="0" fontId="2" fillId="5" borderId="4" xfId="0" applyFont="1" applyFill="1" applyBorder="1"/>
    <xf numFmtId="0" fontId="3" fillId="5" borderId="4" xfId="0" applyFont="1" applyFill="1" applyBorder="1"/>
    <xf numFmtId="0" fontId="2" fillId="5" borderId="4" xfId="0" applyFont="1" applyFill="1" applyBorder="1" applyAlignment="1">
      <alignment horizontal="right" wrapText="1"/>
    </xf>
    <xf numFmtId="0" fontId="2" fillId="5" borderId="4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2" fillId="6" borderId="1" xfId="0" applyFont="1" applyFill="1" applyBorder="1"/>
    <xf numFmtId="0" fontId="3" fillId="6" borderId="1" xfId="0" applyFont="1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2" fillId="8" borderId="1" xfId="0" applyFont="1" applyFill="1" applyBorder="1"/>
    <xf numFmtId="0" fontId="3" fillId="8" borderId="1" xfId="0" applyFont="1" applyFill="1" applyBorder="1"/>
    <xf numFmtId="0" fontId="2" fillId="9" borderId="1" xfId="0" applyFont="1" applyFill="1" applyBorder="1"/>
    <xf numFmtId="0" fontId="3" fillId="9" borderId="1" xfId="0" applyFont="1" applyFill="1" applyBorder="1"/>
    <xf numFmtId="0" fontId="2" fillId="10" borderId="1" xfId="0" applyFont="1" applyFill="1" applyBorder="1"/>
    <xf numFmtId="0" fontId="3" fillId="10" borderId="1" xfId="0" applyFont="1" applyFill="1" applyBorder="1"/>
    <xf numFmtId="0" fontId="2" fillId="11" borderId="1" xfId="0" applyFont="1" applyFill="1" applyBorder="1"/>
    <xf numFmtId="0" fontId="3" fillId="11" borderId="1" xfId="0" applyFont="1" applyFill="1" applyBorder="1"/>
    <xf numFmtId="0" fontId="2" fillId="12" borderId="1" xfId="0" applyFont="1" applyFill="1" applyBorder="1"/>
    <xf numFmtId="0" fontId="3" fillId="12" borderId="1" xfId="0" applyFont="1" applyFill="1" applyBorder="1"/>
    <xf numFmtId="0" fontId="2" fillId="0" borderId="0" xfId="0" applyFont="1"/>
    <xf numFmtId="0" fontId="5" fillId="0" borderId="0" xfId="0" applyFont="1" applyAlignment="1">
      <alignment wrapText="1"/>
    </xf>
    <xf numFmtId="0" fontId="2" fillId="13" borderId="1" xfId="0" applyFont="1" applyFill="1" applyBorder="1"/>
    <xf numFmtId="0" fontId="3" fillId="13" borderId="1" xfId="0" applyFont="1" applyFill="1" applyBorder="1"/>
    <xf numFmtId="0" fontId="2" fillId="14" borderId="1" xfId="0" applyFont="1" applyFill="1" applyBorder="1"/>
    <xf numFmtId="0" fontId="3" fillId="14" borderId="1" xfId="0" applyFont="1" applyFill="1" applyBorder="1"/>
    <xf numFmtId="0" fontId="5" fillId="0" borderId="0" xfId="0" applyFont="1"/>
    <xf numFmtId="0" fontId="2" fillId="15" borderId="1" xfId="0" applyFont="1" applyFill="1" applyBorder="1" applyAlignment="1">
      <alignment wrapText="1"/>
    </xf>
    <xf numFmtId="0" fontId="6" fillId="15" borderId="1" xfId="0" applyFont="1" applyFill="1" applyBorder="1"/>
    <xf numFmtId="0" fontId="2" fillId="16" borderId="1" xfId="0" applyFont="1" applyFill="1" applyBorder="1"/>
    <xf numFmtId="0" fontId="3" fillId="16" borderId="1" xfId="0" applyFont="1" applyFill="1" applyBorder="1"/>
    <xf numFmtId="0" fontId="2" fillId="17" borderId="1" xfId="0" applyFont="1" applyFill="1" applyBorder="1"/>
    <xf numFmtId="0" fontId="3" fillId="17" borderId="1" xfId="0" applyFont="1" applyFill="1" applyBorder="1"/>
    <xf numFmtId="0" fontId="2" fillId="18" borderId="1" xfId="0" applyFont="1" applyFill="1" applyBorder="1"/>
    <xf numFmtId="0" fontId="3" fillId="18" borderId="1" xfId="0" applyFont="1" applyFill="1" applyBorder="1"/>
    <xf numFmtId="0" fontId="2" fillId="19" borderId="0" xfId="0" applyFont="1" applyFill="1" applyAlignment="1">
      <alignment wrapText="1"/>
    </xf>
    <xf numFmtId="0" fontId="2" fillId="19" borderId="1" xfId="0" applyFont="1" applyFill="1" applyBorder="1"/>
    <xf numFmtId="0" fontId="6" fillId="19" borderId="1" xfId="0" applyFont="1" applyFill="1" applyBorder="1"/>
    <xf numFmtId="0" fontId="2" fillId="20" borderId="0" xfId="0" applyFont="1" applyFill="1" applyAlignment="1">
      <alignment wrapText="1"/>
    </xf>
    <xf numFmtId="0" fontId="2" fillId="20" borderId="1" xfId="0" applyFont="1" applyFill="1" applyBorder="1"/>
    <xf numFmtId="0" fontId="6" fillId="20" borderId="1" xfId="0" applyFont="1" applyFill="1" applyBorder="1"/>
    <xf numFmtId="0" fontId="2" fillId="0" borderId="6" xfId="0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right" wrapText="1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1" fillId="5" borderId="3" xfId="0" applyFont="1" applyFill="1" applyBorder="1" applyAlignment="1">
      <alignment wrapText="1"/>
    </xf>
    <xf numFmtId="0" fontId="0" fillId="0" borderId="0" xfId="0" applyFont="1"/>
    <xf numFmtId="0" fontId="7" fillId="0" borderId="0" xfId="0" applyFont="1"/>
    <xf numFmtId="0" fontId="3" fillId="21" borderId="0" xfId="0" applyFont="1" applyFill="1" applyAlignment="1">
      <alignment wrapText="1"/>
    </xf>
    <xf numFmtId="0" fontId="3" fillId="21" borderId="0" xfId="0" applyFont="1" applyFill="1"/>
    <xf numFmtId="0" fontId="8" fillId="0" borderId="0" xfId="0" applyFont="1"/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/>
    <xf numFmtId="0" fontId="3" fillId="0" borderId="0" xfId="0" applyFont="1"/>
    <xf numFmtId="0" fontId="3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Woody Mass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[1]species19!$M$47:$M$146</c:f>
              <c:numCache>
                <c:formatCode>General</c:formatCode>
                <c:ptCount val="100"/>
                <c:pt idx="0">
                  <c:v>2.7189162257613086E-3</c:v>
                </c:pt>
                <c:pt idx="1">
                  <c:v>1.5277396881061833E-2</c:v>
                </c:pt>
                <c:pt idx="2">
                  <c:v>4.7719407350022697E-2</c:v>
                </c:pt>
                <c:pt idx="3">
                  <c:v>0.10840300351200163</c:v>
                </c:pt>
                <c:pt idx="4">
                  <c:v>0.20368169610326936</c:v>
                </c:pt>
                <c:pt idx="5">
                  <c:v>0.33845254304896277</c:v>
                </c:pt>
                <c:pt idx="6">
                  <c:v>0.51663104609176902</c:v>
                </c:pt>
                <c:pt idx="7">
                  <c:v>0.74145718180140563</c:v>
                </c:pt>
                <c:pt idx="8">
                  <c:v>1.0156877188069373</c:v>
                </c:pt>
                <c:pt idx="9">
                  <c:v>1.3417205085896828</c:v>
                </c:pt>
                <c:pt idx="10">
                  <c:v>1.7216779186242397</c:v>
                </c:pt>
                <c:pt idx="11">
                  <c:v>2.1574649370293923</c:v>
                </c:pt>
                <c:pt idx="12">
                  <c:v>2.6508109898333121</c:v>
                </c:pt>
                <c:pt idx="13">
                  <c:v>3.2033009105144958</c:v>
                </c:pt>
                <c:pt idx="14">
                  <c:v>3.816398451340834</c:v>
                </c:pt>
                <c:pt idx="15">
                  <c:v>4.4914645200795853</c:v>
                </c:pt>
                <c:pt idx="16">
                  <c:v>5.229771592207733</c:v>
                </c:pt>
                <c:pt idx="17">
                  <c:v>6.0325152883836015</c:v>
                </c:pt>
                <c:pt idx="18">
                  <c:v>6.9008238094757424</c:v>
                </c:pt>
                <c:pt idx="19">
                  <c:v>7.8357657241111562</c:v>
                </c:pt>
                <c:pt idx="20">
                  <c:v>8.8383564696407984</c:v>
                </c:pt>
                <c:pt idx="21">
                  <c:v>9.9095638343575736</c:v>
                </c:pt>
                <c:pt idx="22">
                  <c:v>11.05031262292923</c:v>
                </c:pt>
                <c:pt idx="23">
                  <c:v>12.261488659549498</c:v>
                </c:pt>
                <c:pt idx="24">
                  <c:v>13.543942248563372</c:v>
                </c:pt>
                <c:pt idx="25">
                  <c:v>14.89849118650541</c:v>
                </c:pt>
                <c:pt idx="26">
                  <c:v>16.325923400048506</c:v>
                </c:pt>
                <c:pt idx="27">
                  <c:v>17.826999269538444</c:v>
                </c:pt>
                <c:pt idx="28">
                  <c:v>19.402453686359969</c:v>
                </c:pt>
                <c:pt idx="29">
                  <c:v>21.03564497981786</c:v>
                </c:pt>
                <c:pt idx="30">
                  <c:v>22.722682460850027</c:v>
                </c:pt>
                <c:pt idx="31">
                  <c:v>24.462773861316528</c:v>
                </c:pt>
                <c:pt idx="32">
                  <c:v>26.255171363939503</c:v>
                </c:pt>
                <c:pt idx="33">
                  <c:v>28.099167442582974</c:v>
                </c:pt>
                <c:pt idx="34">
                  <c:v>29.99409123418145</c:v>
                </c:pt>
                <c:pt idx="35">
                  <c:v>31.939305357659592</c:v>
                </c:pt>
                <c:pt idx="36">
                  <c:v>33.934203111118102</c:v>
                </c:pt>
                <c:pt idx="37">
                  <c:v>35.978205991068478</c:v>
                </c:pt>
                <c:pt idx="38">
                  <c:v>38.070761487402891</c:v>
                </c:pt>
                <c:pt idx="39">
                  <c:v>40.211341115690743</c:v>
                </c:pt>
                <c:pt idx="40">
                  <c:v>42.399438654751208</c:v>
                </c:pt>
                <c:pt idx="41">
                  <c:v>44.634568562600514</c:v>
                </c:pt>
                <c:pt idx="42">
                  <c:v>46.916264548071418</c:v>
                </c:pt>
                <c:pt idx="43">
                  <c:v>49.244078278846942</c:v>
                </c:pt>
                <c:pt idx="44">
                  <c:v>51.617578209493225</c:v>
                </c:pt>
                <c:pt idx="45">
                  <c:v>54.036348515435535</c:v>
                </c:pt>
                <c:pt idx="46">
                  <c:v>56.499988120789482</c:v>
                </c:pt>
                <c:pt idx="47">
                  <c:v>59.008109809609365</c:v>
                </c:pt>
                <c:pt idx="48">
                  <c:v>61.560339411505367</c:v>
                </c:pt>
                <c:pt idx="49">
                  <c:v>64.156315053757112</c:v>
                </c:pt>
                <c:pt idx="50">
                  <c:v>66.795686473050168</c:v>
                </c:pt>
                <c:pt idx="51">
                  <c:v>69.47811438081429</c:v>
                </c:pt>
                <c:pt idx="52">
                  <c:v>72.203269876872255</c:v>
                </c:pt>
                <c:pt idx="53">
                  <c:v>74.970833906735166</c:v>
                </c:pt>
                <c:pt idx="54">
                  <c:v>77.780496758421492</c:v>
                </c:pt>
                <c:pt idx="55">
                  <c:v>80.631957595145138</c:v>
                </c:pt>
                <c:pt idx="56">
                  <c:v>83.52492402062451</c:v>
                </c:pt>
                <c:pt idx="57">
                  <c:v>86.459111674118304</c:v>
                </c:pt>
                <c:pt idx="58">
                  <c:v>89.434243852603288</c:v>
                </c:pt>
                <c:pt idx="59">
                  <c:v>92.450051157779754</c:v>
                </c:pt>
                <c:pt idx="60">
                  <c:v>95.506271165828252</c:v>
                </c:pt>
                <c:pt idx="61">
                  <c:v>98.602648118050709</c:v>
                </c:pt>
                <c:pt idx="62">
                  <c:v>101.73893263071359</c:v>
                </c:pt>
                <c:pt idx="63">
                  <c:v>104.9148814225744</c:v>
                </c:pt>
                <c:pt idx="64">
                  <c:v>108.1302570587178</c:v>
                </c:pt>
                <c:pt idx="65">
                  <c:v>111.38482770945649</c:v>
                </c:pt>
                <c:pt idx="66">
                  <c:v>114.67836692316666</c:v>
                </c:pt>
                <c:pt idx="67">
                  <c:v>118.01065341203039</c:v>
                </c:pt>
                <c:pt idx="68">
                  <c:v>121.38147084974898</c:v>
                </c:pt>
                <c:pt idx="69">
                  <c:v>124.79060768037303</c:v>
                </c:pt>
                <c:pt idx="70">
                  <c:v>128.23785693746927</c:v>
                </c:pt>
                <c:pt idx="71">
                  <c:v>131.72301607290976</c:v>
                </c:pt>
                <c:pt idx="72">
                  <c:v>135.24588679462929</c:v>
                </c:pt>
                <c:pt idx="73">
                  <c:v>138.80627491275047</c:v>
                </c:pt>
                <c:pt idx="74">
                  <c:v>142.40399019352463</c:v>
                </c:pt>
                <c:pt idx="75">
                  <c:v>146.03884622058081</c:v>
                </c:pt>
                <c:pt idx="76">
                  <c:v>149.71066026301503</c:v>
                </c:pt>
                <c:pt idx="77">
                  <c:v>153.41925314988839</c:v>
                </c:pt>
                <c:pt idx="78">
                  <c:v>157.16444915073538</c:v>
                </c:pt>
                <c:pt idx="79">
                  <c:v>160.94607586171395</c:v>
                </c:pt>
                <c:pt idx="80">
                  <c:v>164.76396409705643</c:v>
                </c:pt>
                <c:pt idx="81">
                  <c:v>168.61794778550478</c:v>
                </c:pt>
                <c:pt idx="82">
                  <c:v>172.50786387143751</c:v>
                </c:pt>
                <c:pt idx="83">
                  <c:v>176.43355222041546</c:v>
                </c:pt>
                <c:pt idx="84">
                  <c:v>180.39485552889366</c:v>
                </c:pt>
                <c:pt idx="85">
                  <c:v>184.39161923786367</c:v>
                </c:pt>
                <c:pt idx="86">
                  <c:v>188.42369145020683</c:v>
                </c:pt>
                <c:pt idx="87">
                  <c:v>192.49092285155439</c:v>
                </c:pt>
                <c:pt idx="88">
                  <c:v>196.59316663446307</c:v>
                </c:pt>
                <c:pt idx="89">
                  <c:v>200.73027842572856</c:v>
                </c:pt>
                <c:pt idx="90">
                  <c:v>204.90211621666967</c:v>
                </c:pt>
                <c:pt idx="91">
                  <c:v>209.108540296228</c:v>
                </c:pt>
                <c:pt idx="92">
                  <c:v>213.34941318673671</c:v>
                </c:pt>
                <c:pt idx="93">
                  <c:v>217.62459958222189</c:v>
                </c:pt>
                <c:pt idx="94">
                  <c:v>221.93396628910841</c:v>
                </c:pt>
                <c:pt idx="95">
                  <c:v>226.27738216920974</c:v>
                </c:pt>
                <c:pt idx="96">
                  <c:v>230.654718084889</c:v>
                </c:pt>
                <c:pt idx="97">
                  <c:v>235.06584684628481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C-CC49-B5C3-CFE1C04DD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453152"/>
        <c:axId val="1"/>
      </c:lineChart>
      <c:catAx>
        <c:axId val="147445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453152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3747112589728883"/>
          <c:y val="0.51498587011027597"/>
          <c:w val="0.35060911924350885"/>
          <c:h val="0.15569340259147879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DBH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[1]species19!$S$47:$S$146</c:f>
              <c:numCache>
                <c:formatCode>General</c:formatCode>
                <c:ptCount val="100"/>
                <c:pt idx="0">
                  <c:v>3.0933566912955835E-3</c:v>
                </c:pt>
                <c:pt idx="1">
                  <c:v>6.1930257058402105E-3</c:v>
                </c:pt>
                <c:pt idx="2">
                  <c:v>9.790941451605412E-3</c:v>
                </c:pt>
                <c:pt idx="3">
                  <c:v>1.3618490467680567E-2</c:v>
                </c:pt>
                <c:pt idx="4">
                  <c:v>1.7550199160511152E-2</c:v>
                </c:pt>
                <c:pt idx="5">
                  <c:v>2.1526550866243024E-2</c:v>
                </c:pt>
                <c:pt idx="6">
                  <c:v>2.5517750387854331E-2</c:v>
                </c:pt>
                <c:pt idx="7">
                  <c:v>2.950814452691209E-2</c:v>
                </c:pt>
                <c:pt idx="8">
                  <c:v>3.3489244404824495E-2</c:v>
                </c:pt>
                <c:pt idx="9">
                  <c:v>3.7456395702698021E-2</c:v>
                </c:pt>
                <c:pt idx="10">
                  <c:v>4.1407089651454093E-2</c:v>
                </c:pt>
                <c:pt idx="11">
                  <c:v>4.5340059562109826E-2</c:v>
                </c:pt>
                <c:pt idx="12">
                  <c:v>4.9254775484729681E-2</c:v>
                </c:pt>
                <c:pt idx="13">
                  <c:v>5.315115091277875E-2</c:v>
                </c:pt>
                <c:pt idx="14">
                  <c:v>5.7029367337774695E-2</c:v>
                </c:pt>
                <c:pt idx="15">
                  <c:v>6.0889766728082322E-2</c:v>
                </c:pt>
                <c:pt idx="16">
                  <c:v>6.4732784387802361E-2</c:v>
                </c:pt>
                <c:pt idx="17">
                  <c:v>6.8558906460848862E-2</c:v>
                </c:pt>
                <c:pt idx="18">
                  <c:v>7.2368642814494372E-2</c:v>
                </c:pt>
                <c:pt idx="19">
                  <c:v>7.6162509699904624E-2</c:v>
                </c:pt>
                <c:pt idx="20">
                  <c:v>7.994101872313937E-2</c:v>
                </c:pt>
                <c:pt idx="21">
                  <c:v>8.3704669938223272E-2</c:v>
                </c:pt>
                <c:pt idx="22">
                  <c:v>8.7453947656499054E-2</c:v>
                </c:pt>
                <c:pt idx="23">
                  <c:v>9.1189318055564655E-2</c:v>
                </c:pt>
                <c:pt idx="24">
                  <c:v>9.491122798235567E-2</c:v>
                </c:pt>
                <c:pt idx="25">
                  <c:v>9.8620104546239817E-2</c:v>
                </c:pt>
                <c:pt idx="26">
                  <c:v>0.10231635523006023</c:v>
                </c:pt>
                <c:pt idx="27">
                  <c:v>0.10600036833480571</c:v>
                </c:pt>
                <c:pt idx="28">
                  <c:v>0.10967251363252366</c:v>
                </c:pt>
                <c:pt idx="29">
                  <c:v>0.11329556720318064</c:v>
                </c:pt>
                <c:pt idx="30">
                  <c:v>0.11686553323864503</c:v>
                </c:pt>
                <c:pt idx="31">
                  <c:v>0.12038538675800776</c:v>
                </c:pt>
                <c:pt idx="32">
                  <c:v>0.1238578245917242</c:v>
                </c:pt>
                <c:pt idx="33">
                  <c:v>0.12728530091465257</c:v>
                </c:pt>
                <c:pt idx="34">
                  <c:v>0.13067005712401239</c:v>
                </c:pt>
                <c:pt idx="35">
                  <c:v>0.13401414712603216</c:v>
                </c:pt>
                <c:pt idx="36">
                  <c:v>0.13731945886647179</c:v>
                </c:pt>
                <c:pt idx="37">
                  <c:v>0.14058773276641184</c:v>
                </c:pt>
                <c:pt idx="38">
                  <c:v>0.14382057759130099</c:v>
                </c:pt>
                <c:pt idx="39">
                  <c:v>0.1470194841779473</c:v>
                </c:pt>
                <c:pt idx="40">
                  <c:v>0.15018583736346008</c:v>
                </c:pt>
                <c:pt idx="41">
                  <c:v>0.15332092639665132</c:v>
                </c:pt>
                <c:pt idx="42">
                  <c:v>0.15642595406205739</c:v>
                </c:pt>
                <c:pt idx="43">
                  <c:v>0.15950204470654167</c:v>
                </c:pt>
                <c:pt idx="44">
                  <c:v>0.16255025132613188</c:v>
                </c:pt>
                <c:pt idx="45">
                  <c:v>0.16557156184461921</c:v>
                </c:pt>
                <c:pt idx="46">
                  <c:v>0.16856690469419325</c:v>
                </c:pt>
                <c:pt idx="47">
                  <c:v>0.17153715379100637</c:v>
                </c:pt>
                <c:pt idx="48">
                  <c:v>0.17448313298426479</c:v>
                </c:pt>
                <c:pt idx="49">
                  <c:v>0.17740562004563337</c:v>
                </c:pt>
                <c:pt idx="50">
                  <c:v>0.18030535025593181</c:v>
                </c:pt>
                <c:pt idx="51">
                  <c:v>0.18318301963791994</c:v>
                </c:pt>
                <c:pt idx="52">
                  <c:v>0.18603928787711532</c:v>
                </c:pt>
                <c:pt idx="53">
                  <c:v>0.18887478096682353</c:v>
                </c:pt>
                <c:pt idx="54">
                  <c:v>0.19169009360869027</c:v>
                </c:pt>
                <c:pt idx="55">
                  <c:v>0.19448579139596109</c:v>
                </c:pt>
                <c:pt idx="56">
                  <c:v>0.19726241280312082</c:v>
                </c:pt>
                <c:pt idx="57">
                  <c:v>0.20002047100259029</c:v>
                </c:pt>
                <c:pt idx="58">
                  <c:v>0.20276045552658875</c:v>
                </c:pt>
                <c:pt idx="59">
                  <c:v>0.20548283379006785</c:v>
                </c:pt>
                <c:pt idx="60">
                  <c:v>0.20818805248871894</c:v>
                </c:pt>
                <c:pt idx="61">
                  <c:v>0.21087653888441646</c:v>
                </c:pt>
                <c:pt idx="62">
                  <c:v>0.2135487019890307</c:v>
                </c:pt>
                <c:pt idx="63">
                  <c:v>0.21620493365631294</c:v>
                </c:pt>
                <c:pt idx="64">
                  <c:v>0.21884560959046986</c:v>
                </c:pt>
                <c:pt idx="65">
                  <c:v>0.22147109027910747</c:v>
                </c:pt>
                <c:pt idx="66">
                  <c:v>0.22408172185739633</c:v>
                </c:pt>
                <c:pt idx="67">
                  <c:v>0.22667783690958831</c:v>
                </c:pt>
                <c:pt idx="68">
                  <c:v>0.22925975521337419</c:v>
                </c:pt>
                <c:pt idx="69">
                  <c:v>0.23182778443201477</c:v>
                </c:pt>
                <c:pt idx="70">
                  <c:v>0.23438222075867654</c:v>
                </c:pt>
                <c:pt idx="71">
                  <c:v>0.23692334951696695</c:v>
                </c:pt>
                <c:pt idx="72">
                  <c:v>0.23945144572127355</c:v>
                </c:pt>
                <c:pt idx="73">
                  <c:v>0.24196677460016441</c:v>
                </c:pt>
                <c:pt idx="74">
                  <c:v>0.24446959208579844</c:v>
                </c:pt>
                <c:pt idx="75">
                  <c:v>0.2469601452720207</c:v>
                </c:pt>
                <c:pt idx="76">
                  <c:v>0.24943867284356927</c:v>
                </c:pt>
                <c:pt idx="77">
                  <c:v>0.25190540547860302</c:v>
                </c:pt>
                <c:pt idx="78">
                  <c:v>0.25436056622655878</c:v>
                </c:pt>
                <c:pt idx="79">
                  <c:v>0.25680437086317381</c:v>
                </c:pt>
                <c:pt idx="80">
                  <c:v>0.25923702822434358</c:v>
                </c:pt>
                <c:pt idx="81">
                  <c:v>0.26165874052034965</c:v>
                </c:pt>
                <c:pt idx="82">
                  <c:v>0.26406970363185395</c:v>
                </c:pt>
                <c:pt idx="83">
                  <c:v>0.26647010738894633</c:v>
                </c:pt>
                <c:pt idx="84">
                  <c:v>0.26886013583442109</c:v>
                </c:pt>
                <c:pt idx="85">
                  <c:v>0.27123996747236606</c:v>
                </c:pt>
                <c:pt idx="86">
                  <c:v>0.27360977550305715</c:v>
                </c:pt>
                <c:pt idx="87">
                  <c:v>0.27596972804507752</c:v>
                </c:pt>
                <c:pt idx="88">
                  <c:v>0.27831998834550187</c:v>
                </c:pt>
                <c:pt idx="89">
                  <c:v>0.28066071497892664</c:v>
                </c:pt>
                <c:pt idx="90">
                  <c:v>0.28299206203606647</c:v>
                </c:pt>
                <c:pt idx="91">
                  <c:v>0.28531417930257857</c:v>
                </c:pt>
                <c:pt idx="92">
                  <c:v>0.28762721242873401</c:v>
                </c:pt>
                <c:pt idx="93">
                  <c:v>0.28993130309050147</c:v>
                </c:pt>
                <c:pt idx="94">
                  <c:v>0.29222658914257527</c:v>
                </c:pt>
                <c:pt idx="95">
                  <c:v>0.29451320476383641</c:v>
                </c:pt>
                <c:pt idx="96">
                  <c:v>0.29679128059570009</c:v>
                </c:pt>
                <c:pt idx="97">
                  <c:v>0.29906094387377524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1-AF46-8E23-3ACBC5B2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657648"/>
        <c:axId val="1"/>
      </c:lineChart>
      <c:catAx>
        <c:axId val="145765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65764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8095689739013632"/>
          <c:y val="0.52696228569423587"/>
          <c:w val="0.30351221712246074"/>
          <c:h val="9.5811324671679257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young height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species14!$N$45:$N$144</c:f>
              <c:numCache>
                <c:formatCode>General</c:formatCode>
                <c:ptCount val="100"/>
                <c:pt idx="0">
                  <c:v>4.7568044559497411E-2</c:v>
                </c:pt>
                <c:pt idx="1">
                  <c:v>0.17458461542634712</c:v>
                </c:pt>
                <c:pt idx="2">
                  <c:v>0.77243012561467206</c:v>
                </c:pt>
                <c:pt idx="3">
                  <c:v>1.6917416231842373</c:v>
                </c:pt>
                <c:pt idx="4">
                  <c:v>2.7224854788560906</c:v>
                </c:pt>
                <c:pt idx="5">
                  <c:v>3.7764575808022465</c:v>
                </c:pt>
                <c:pt idx="6">
                  <c:v>4.9678172168645682</c:v>
                </c:pt>
                <c:pt idx="7">
                  <c:v>6.106133645667283</c:v>
                </c:pt>
                <c:pt idx="8">
                  <c:v>7.1973383626892948</c:v>
                </c:pt>
                <c:pt idx="9">
                  <c:v>8.2478557747694463</c:v>
                </c:pt>
                <c:pt idx="10">
                  <c:v>9.2632046468494114</c:v>
                </c:pt>
                <c:pt idx="11">
                  <c:v>10.247903716097806</c:v>
                </c:pt>
                <c:pt idx="12">
                  <c:v>11.205629053201386</c:v>
                </c:pt>
                <c:pt idx="13">
                  <c:v>12.139389580973397</c:v>
                </c:pt>
                <c:pt idx="14">
                  <c:v>13.051673063643868</c:v>
                </c:pt>
                <c:pt idx="15">
                  <c:v>13.944559012707614</c:v>
                </c:pt>
                <c:pt idx="16">
                  <c:v>14.819804340731269</c:v>
                </c:pt>
                <c:pt idx="17">
                  <c:v>15.678908302351468</c:v>
                </c:pt>
                <c:pt idx="18">
                  <c:v>16.523162067559106</c:v>
                </c:pt>
                <c:pt idx="19">
                  <c:v>17.35368693515526</c:v>
                </c:pt>
                <c:pt idx="20">
                  <c:v>18.171464108305045</c:v>
                </c:pt>
                <c:pt idx="21">
                  <c:v>18.977358148675989</c:v>
                </c:pt>
                <c:pt idx="22">
                  <c:v>19.772135646743195</c:v>
                </c:pt>
                <c:pt idx="23">
                  <c:v>20.556480233443093</c:v>
                </c:pt>
                <c:pt idx="24">
                  <c:v>21.331004764225696</c:v>
                </c:pt>
                <c:pt idx="25">
                  <c:v>22.096261295509066</c:v>
                </c:pt>
                <c:pt idx="26">
                  <c:v>22.852749320837571</c:v>
                </c:pt>
                <c:pt idx="27">
                  <c:v>23.600922622510403</c:v>
                </c:pt>
                <c:pt idx="28">
                  <c:v>24.341195012176936</c:v>
                </c:pt>
                <c:pt idx="29">
                  <c:v>25.073945172613492</c:v>
                </c:pt>
                <c:pt idx="30">
                  <c:v>25.799520766805667</c:v>
                </c:pt>
                <c:pt idx="31">
                  <c:v>26.518241945474749</c:v>
                </c:pt>
                <c:pt idx="32">
                  <c:v>27.230404357389464</c:v>
                </c:pt>
                <c:pt idx="33">
                  <c:v>27.936281746107664</c:v>
                </c:pt>
                <c:pt idx="34">
                  <c:v>28.636128200674555</c:v>
                </c:pt>
                <c:pt idx="35">
                  <c:v>29.33018011515745</c:v>
                </c:pt>
                <c:pt idx="36">
                  <c:v>30.018657901900227</c:v>
                </c:pt>
                <c:pt idx="37">
                  <c:v>30.701767495424658</c:v>
                </c:pt>
                <c:pt idx="38">
                  <c:v>31.379701677530974</c:v>
                </c:pt>
                <c:pt idx="39">
                  <c:v>32.052641249012119</c:v>
                </c:pt>
                <c:pt idx="40">
                  <c:v>32.720756069228131</c:v>
                </c:pt>
                <c:pt idx="41">
                  <c:v>33.384205981389904</c:v>
                </c:pt>
                <c:pt idx="42">
                  <c:v>34.043141638614507</c:v>
                </c:pt>
                <c:pt idx="43">
                  <c:v>34.697705243518712</c:v>
                </c:pt>
                <c:pt idx="44">
                  <c:v>35.348031212216114</c:v>
                </c:pt>
                <c:pt idx="45">
                  <c:v>35.994246772001851</c:v>
                </c:pt>
                <c:pt idx="46">
                  <c:v>36.63647250068685</c:v>
                </c:pt>
                <c:pt idx="47">
                  <c:v>37.27482281443524</c:v>
                </c:pt>
                <c:pt idx="48">
                  <c:v>37.909406410024189</c:v>
                </c:pt>
                <c:pt idx="49">
                  <c:v>38.540326666655204</c:v>
                </c:pt>
                <c:pt idx="50">
                  <c:v>39.167682011775049</c:v>
                </c:pt>
                <c:pt idx="51">
                  <c:v>39.791566254794091</c:v>
                </c:pt>
                <c:pt idx="52">
                  <c:v>40.412068892100251</c:v>
                </c:pt>
                <c:pt idx="53">
                  <c:v>41.029275386349084</c:v>
                </c:pt>
                <c:pt idx="54">
                  <c:v>41.643267422649458</c:v>
                </c:pt>
                <c:pt idx="55">
                  <c:v>42.254123143954558</c:v>
                </c:pt>
                <c:pt idx="56">
                  <c:v>42.861917367697615</c:v>
                </c:pt>
                <c:pt idx="57">
                  <c:v>43.466721785479798</c:v>
                </c:pt>
                <c:pt idx="58">
                  <c:v>44.068605147413905</c:v>
                </c:pt>
                <c:pt idx="59">
                  <c:v>44.667633432550645</c:v>
                </c:pt>
                <c:pt idx="60">
                  <c:v>45.263870006659388</c:v>
                </c:pt>
                <c:pt idx="61">
                  <c:v>45.85737576849985</c:v>
                </c:pt>
                <c:pt idx="62">
                  <c:v>46.448209285601294</c:v>
                </c:pt>
                <c:pt idx="63">
                  <c:v>47.036426920461835</c:v>
                </c:pt>
                <c:pt idx="64">
                  <c:v>47.622082947986613</c:v>
                </c:pt>
                <c:pt idx="65">
                  <c:v>48.205229664902717</c:v>
                </c:pt>
                <c:pt idx="66">
                  <c:v>48.78591749181561</c:v>
                </c:pt>
                <c:pt idx="67">
                  <c:v>49.364195068507364</c:v>
                </c:pt>
                <c:pt idx="68">
                  <c:v>49.940109343019834</c:v>
                </c:pt>
                <c:pt idx="69">
                  <c:v>50.513705655015087</c:v>
                </c:pt>
                <c:pt idx="70">
                  <c:v>51.08502781385905</c:v>
                </c:pt>
                <c:pt idx="71">
                  <c:v>51.654118171834291</c:v>
                </c:pt>
                <c:pt idx="72">
                  <c:v>52.221017692851184</c:v>
                </c:pt>
                <c:pt idx="73">
                  <c:v>52.785766016993421</c:v>
                </c:pt>
                <c:pt idx="74">
                  <c:v>53.348401521205211</c:v>
                </c:pt>
                <c:pt idx="75">
                  <c:v>53.908961376400399</c:v>
                </c:pt>
                <c:pt idx="76">
                  <c:v>54.467481601249744</c:v>
                </c:pt>
                <c:pt idx="77">
                  <c:v>55.023997112881908</c:v>
                </c:pt>
                <c:pt idx="78">
                  <c:v>55.578541774713116</c:v>
                </c:pt>
                <c:pt idx="79">
                  <c:v>56.131148441603514</c:v>
                </c:pt>
                <c:pt idx="80">
                  <c:v>56.681849002522007</c:v>
                </c:pt>
                <c:pt idx="81">
                  <c:v>57.230674420887048</c:v>
                </c:pt>
                <c:pt idx="82">
                  <c:v>57.777654772737279</c:v>
                </c:pt>
                <c:pt idx="83">
                  <c:v>58.322819282874157</c:v>
                </c:pt>
                <c:pt idx="84">
                  <c:v>58.866196359108244</c:v>
                </c:pt>
                <c:pt idx="85">
                  <c:v>59.407813624729684</c:v>
                </c:pt>
                <c:pt idx="86">
                  <c:v>59.947697949315469</c:v>
                </c:pt>
                <c:pt idx="87">
                  <c:v>60.485875477977167</c:v>
                </c:pt>
                <c:pt idx="88">
                  <c:v>61.022371659145513</c:v>
                </c:pt>
                <c:pt idx="89">
                  <c:v>61.557211270980744</c:v>
                </c:pt>
                <c:pt idx="90">
                  <c:v>62.09041844649164</c:v>
                </c:pt>
                <c:pt idx="91">
                  <c:v>62.622016697440479</c:v>
                </c:pt>
                <c:pt idx="92">
                  <c:v>63.152028937105335</c:v>
                </c:pt>
                <c:pt idx="93">
                  <c:v>63.680477501965939</c:v>
                </c:pt>
                <c:pt idx="94">
                  <c:v>64.207384172375896</c:v>
                </c:pt>
                <c:pt idx="95">
                  <c:v>64.732770192278622</c:v>
                </c:pt>
                <c:pt idx="96">
                  <c:v>65.25665628802075</c:v>
                </c:pt>
                <c:pt idx="97">
                  <c:v>65.779062686314163</c:v>
                </c:pt>
                <c:pt idx="98">
                  <c:v>66.300009131392784</c:v>
                </c:pt>
                <c:pt idx="99">
                  <c:v>66.819514901409079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C-6541-9848-D9615CD61AA6}"/>
            </c:ext>
          </c:extLst>
        </c:ser>
        <c:ser>
          <c:idx val="1"/>
          <c:order val="1"/>
          <c:tx>
            <c:v>mature height</c:v>
          </c:tx>
          <c:spPr>
            <a:ln w="38100" cmpd="sng">
              <a:solidFill>
                <a:srgbClr val="99336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species14!$O$45:$O$144</c:f>
              <c:numCache>
                <c:formatCode>General</c:formatCode>
                <c:ptCount val="100"/>
                <c:pt idx="0">
                  <c:v>-20.16422340163858</c:v>
                </c:pt>
                <c:pt idx="1">
                  <c:v>-13.012857623691033</c:v>
                </c:pt>
                <c:pt idx="2">
                  <c:v>-4.8336314799762228</c:v>
                </c:pt>
                <c:pt idx="3">
                  <c:v>-0.52178398876333176</c:v>
                </c:pt>
                <c:pt idx="4">
                  <c:v>2.0950428475288376</c:v>
                </c:pt>
                <c:pt idx="5">
                  <c:v>3.8948693388524767</c:v>
                </c:pt>
                <c:pt idx="6">
                  <c:v>5.402937051432005</c:v>
                </c:pt>
                <c:pt idx="7">
                  <c:v>6.5376598153998131</c:v>
                </c:pt>
                <c:pt idx="8">
                  <c:v>7.4419560882669558</c:v>
                </c:pt>
                <c:pt idx="9">
                  <c:v>8.1912869488352342</c:v>
                </c:pt>
                <c:pt idx="10">
                  <c:v>8.8298193625051518</c:v>
                </c:pt>
                <c:pt idx="11">
                  <c:v>9.3854464466248455</c:v>
                </c:pt>
                <c:pt idx="12">
                  <c:v>9.8768333696473931</c:v>
                </c:pt>
                <c:pt idx="13">
                  <c:v>10.317049281251089</c:v>
                </c:pt>
                <c:pt idx="14">
                  <c:v>10.715583829354395</c:v>
                </c:pt>
                <c:pt idx="15">
                  <c:v>11.079535701103321</c:v>
                </c:pt>
                <c:pt idx="16">
                  <c:v>11.414348311919353</c:v>
                </c:pt>
                <c:pt idx="17">
                  <c:v>11.724284155295427</c:v>
                </c:pt>
                <c:pt idx="18">
                  <c:v>12.012741386448482</c:v>
                </c:pt>
                <c:pt idx="19">
                  <c:v>12.282471446277967</c:v>
                </c:pt>
                <c:pt idx="20">
                  <c:v>12.53573253243378</c:v>
                </c:pt>
                <c:pt idx="21">
                  <c:v>12.774400273149286</c:v>
                </c:pt>
                <c:pt idx="22">
                  <c:v>13.000049124041141</c:v>
                </c:pt>
                <c:pt idx="23">
                  <c:v>13.214013287043977</c:v>
                </c:pt>
                <c:pt idx="24">
                  <c:v>13.417433020028351</c:v>
                </c:pt>
                <c:pt idx="25">
                  <c:v>13.611290337563609</c:v>
                </c:pt>
                <c:pt idx="26">
                  <c:v>13.796436883903787</c:v>
                </c:pt>
                <c:pt idx="27">
                  <c:v>13.973615946142624</c:v>
                </c:pt>
                <c:pt idx="28">
                  <c:v>14.143480022672756</c:v>
                </c:pt>
                <c:pt idx="29">
                  <c:v>14.306604979590078</c:v>
                </c:pt>
                <c:pt idx="30">
                  <c:v>14.463501558751688</c:v>
                </c:pt>
                <c:pt idx="31">
                  <c:v>14.614624809307248</c:v>
                </c:pt>
                <c:pt idx="32">
                  <c:v>14.76038187574053</c:v>
                </c:pt>
                <c:pt idx="33">
                  <c:v>14.901138473822277</c:v>
                </c:pt>
                <c:pt idx="34">
                  <c:v>15.037224310577409</c:v>
                </c:pt>
                <c:pt idx="35">
                  <c:v>15.168937647981862</c:v>
                </c:pt>
                <c:pt idx="36">
                  <c:v>15.296549167453243</c:v>
                </c:pt>
                <c:pt idx="37">
                  <c:v>15.420305259636077</c:v>
                </c:pt>
                <c:pt idx="38">
                  <c:v>15.540430838902653</c:v>
                </c:pt>
                <c:pt idx="39">
                  <c:v>15.657131762515958</c:v>
                </c:pt>
                <c:pt idx="40">
                  <c:v>15.770596919161997</c:v>
                </c:pt>
                <c:pt idx="41">
                  <c:v>15.88100003954775</c:v>
                </c:pt>
                <c:pt idx="42">
                  <c:v>15.988501272228913</c:v>
                </c:pt>
                <c:pt idx="43">
                  <c:v>16.093248560218331</c:v>
                </c:pt>
                <c:pt idx="44">
                  <c:v>16.195378847807913</c:v>
                </c:pt>
                <c:pt idx="45">
                  <c:v>16.29501914209191</c:v>
                </c:pt>
                <c:pt idx="46">
                  <c:v>16.392287449660611</c:v>
                </c:pt>
                <c:pt idx="47">
                  <c:v>16.487293605650578</c:v>
                </c:pt>
                <c:pt idx="48">
                  <c:v>16.580140009642065</c:v>
                </c:pt>
                <c:pt idx="49">
                  <c:v>16.6709222806711</c:v>
                </c:pt>
                <c:pt idx="50">
                  <c:v>16.759729841781372</c:v>
                </c:pt>
                <c:pt idx="51">
                  <c:v>16.846646443008243</c:v>
                </c:pt>
                <c:pt idx="52">
                  <c:v>16.931750630406189</c:v>
                </c:pt>
                <c:pt idx="53">
                  <c:v>17.015116167656576</c:v>
                </c:pt>
                <c:pt idx="54">
                  <c:v>17.096812415887896</c:v>
                </c:pt>
                <c:pt idx="55">
                  <c:v>17.176904676576253</c:v>
                </c:pt>
                <c:pt idx="56">
                  <c:v>17.255454501745291</c:v>
                </c:pt>
                <c:pt idx="57">
                  <c:v>17.332519975133664</c:v>
                </c:pt>
                <c:pt idx="58">
                  <c:v>17.408155967527037</c:v>
                </c:pt>
                <c:pt idx="59">
                  <c:v>17.482414369048911</c:v>
                </c:pt>
                <c:pt idx="60">
                  <c:v>17.555344300858366</c:v>
                </c:pt>
                <c:pt idx="61">
                  <c:v>17.626992308405104</c:v>
                </c:pt>
                <c:pt idx="62">
                  <c:v>17.697402538134654</c:v>
                </c:pt>
                <c:pt idx="63">
                  <c:v>17.766616899314272</c:v>
                </c:pt>
                <c:pt idx="64">
                  <c:v>17.834675212456474</c:v>
                </c:pt>
                <c:pt idx="65">
                  <c:v>17.901615345649212</c:v>
                </c:pt>
                <c:pt idx="66">
                  <c:v>17.967473339955049</c:v>
                </c:pt>
                <c:pt idx="67">
                  <c:v>18.032283524913353</c:v>
                </c:pt>
                <c:pt idx="68">
                  <c:v>18.09607862506752</c:v>
                </c:pt>
                <c:pt idx="69">
                  <c:v>18.158889858340416</c:v>
                </c:pt>
                <c:pt idx="70">
                  <c:v>18.22074702699468</c:v>
                </c:pt>
                <c:pt idx="71">
                  <c:v>18.281678601838003</c:v>
                </c:pt>
                <c:pt idx="72">
                  <c:v>18.34171180026603</c:v>
                </c:pt>
                <c:pt idx="73">
                  <c:v>18.400872658675777</c:v>
                </c:pt>
                <c:pt idx="74">
                  <c:v>18.459186099729514</c:v>
                </c:pt>
                <c:pt idx="75">
                  <c:v>18.516675994901988</c:v>
                </c:pt>
                <c:pt idx="76">
                  <c:v>18.573365222702058</c:v>
                </c:pt>
                <c:pt idx="77">
                  <c:v>18.629275722922571</c:v>
                </c:pt>
                <c:pt idx="78">
                  <c:v>18.684428547238866</c:v>
                </c:pt>
                <c:pt idx="79">
                  <c:v>18.738843906446792</c:v>
                </c:pt>
                <c:pt idx="80">
                  <c:v>18.792541214604224</c:v>
                </c:pt>
                <c:pt idx="81">
                  <c:v>18.845539130316389</c:v>
                </c:pt>
                <c:pt idx="82">
                  <c:v>18.897855595383721</c:v>
                </c:pt>
                <c:pt idx="83">
                  <c:v>18.949507871011747</c:v>
                </c:pt>
                <c:pt idx="84">
                  <c:v>19.000512571765121</c:v>
                </c:pt>
                <c:pt idx="85">
                  <c:v>19.050885697432253</c:v>
                </c:pt>
                <c:pt idx="86">
                  <c:v>19.100642662952783</c:v>
                </c:pt>
                <c:pt idx="87">
                  <c:v>19.149798326547476</c:v>
                </c:pt>
                <c:pt idx="88">
                  <c:v>19.198367016178487</c:v>
                </c:pt>
                <c:pt idx="89">
                  <c:v>19.246362554457331</c:v>
                </c:pt>
                <c:pt idx="90">
                  <c:v>19.293798282108618</c:v>
                </c:pt>
                <c:pt idx="91">
                  <c:v>19.340687080088721</c:v>
                </c:pt>
                <c:pt idx="92">
                  <c:v>19.387041390450882</c:v>
                </c:pt>
                <c:pt idx="93">
                  <c:v>19.432873236040891</c:v>
                </c:pt>
                <c:pt idx="94">
                  <c:v>19.478194239101164</c:v>
                </c:pt>
                <c:pt idx="95">
                  <c:v>19.523015638854908</c:v>
                </c:pt>
                <c:pt idx="96">
                  <c:v>19.567348308136744</c:v>
                </c:pt>
                <c:pt idx="97">
                  <c:v>19.611202769131076</c:v>
                </c:pt>
                <c:pt idx="98">
                  <c:v>19.65458920827508</c:v>
                </c:pt>
                <c:pt idx="99">
                  <c:v>19.697517490378857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C-6541-9848-D9615CD61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574128"/>
        <c:axId val="1"/>
      </c:lineChart>
      <c:catAx>
        <c:axId val="145757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-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57412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938225368428268"/>
          <c:y val="0.42554692784286141"/>
          <c:w val="0.2945838703913678"/>
          <c:h val="0.22695836151619275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species14!$M$45:$M$144</c:f>
              <c:numCache>
                <c:formatCode>General</c:formatCode>
                <c:ptCount val="100"/>
                <c:pt idx="0">
                  <c:v>2.673E-5</c:v>
                </c:pt>
                <c:pt idx="1">
                  <c:v>5.8201200747640266E-4</c:v>
                </c:pt>
                <c:pt idx="2">
                  <c:v>1.9731723511988104E-2</c:v>
                </c:pt>
                <c:pt idx="3">
                  <c:v>0.12643255045763044</c:v>
                </c:pt>
                <c:pt idx="4">
                  <c:v>0.39033290446858304</c:v>
                </c:pt>
                <c:pt idx="5">
                  <c:v>0.84754089991574266</c:v>
                </c:pt>
                <c:pt idx="6">
                  <c:v>1.6229370377389278</c:v>
                </c:pt>
                <c:pt idx="7">
                  <c:v>2.6460278370675416</c:v>
                </c:pt>
                <c:pt idx="8">
                  <c:v>3.9064041309090065</c:v>
                </c:pt>
                <c:pt idx="9">
                  <c:v>5.3947062392794303</c:v>
                </c:pt>
                <c:pt idx="10">
                  <c:v>7.1027969268864402</c:v>
                </c:pt>
                <c:pt idx="11">
                  <c:v>9.0236122105334466</c:v>
                </c:pt>
                <c:pt idx="12">
                  <c:v>11.150976503482052</c:v>
                </c:pt>
                <c:pt idx="13">
                  <c:v>13.479441814746778</c:v>
                </c:pt>
                <c:pt idx="14">
                  <c:v>16.004158478134975</c:v>
                </c:pt>
                <c:pt idx="15">
                  <c:v>18.720773237222591</c:v>
                </c:pt>
                <c:pt idx="16">
                  <c:v>21.625348911140865</c:v>
                </c:pt>
                <c:pt idx="17">
                  <c:v>24.714300625224059</c:v>
                </c:pt>
                <c:pt idx="18">
                  <c:v>27.984344699581793</c:v>
                </c:pt>
                <c:pt idx="19">
                  <c:v>31.432457255104008</c:v>
                </c:pt>
                <c:pt idx="20">
                  <c:v>35.05584034259023</c:v>
                </c:pt>
                <c:pt idx="21">
                  <c:v>38.85189395399005</c:v>
                </c:pt>
                <c:pt idx="22">
                  <c:v>42.818192680010426</c:v>
                </c:pt>
                <c:pt idx="23">
                  <c:v>46.952466075112888</c:v>
                </c:pt>
                <c:pt idx="24">
                  <c:v>51.252582009398708</c:v>
                </c:pt>
                <c:pt idx="25">
                  <c:v>55.716532449004191</c:v>
                </c:pt>
                <c:pt idx="26">
                  <c:v>60.342421228041815</c:v>
                </c:pt>
                <c:pt idx="27">
                  <c:v>65.128453466922693</c:v>
                </c:pt>
                <c:pt idx="28">
                  <c:v>70.072926361972122</c:v>
                </c:pt>
                <c:pt idx="29">
                  <c:v>75.174221125244742</c:v>
                </c:pt>
                <c:pt idx="30">
                  <c:v>80.430795895426485</c:v>
                </c:pt>
                <c:pt idx="31">
                  <c:v>85.841179473631371</c:v>
                </c:pt>
                <c:pt idx="32">
                  <c:v>91.403965763929563</c:v>
                </c:pt>
                <c:pt idx="33">
                  <c:v>97.117808819182571</c:v>
                </c:pt>
                <c:pt idx="34">
                  <c:v>102.98141840940788</c:v>
                </c:pt>
                <c:pt idx="35">
                  <c:v>108.99355604334976</c:v>
                </c:pt>
                <c:pt idx="36">
                  <c:v>115.15303138487955</c:v>
                </c:pt>
                <c:pt idx="37">
                  <c:v>121.45869901480992</c:v>
                </c:pt>
                <c:pt idx="38">
                  <c:v>127.90945549608666</c:v>
                </c:pt>
                <c:pt idx="39">
                  <c:v>134.50423670643272</c:v>
                </c:pt>
                <c:pt idx="40">
                  <c:v>141.24201540760583</c:v>
                </c:pt>
                <c:pt idx="41">
                  <c:v>148.12179902468699</c:v>
                </c:pt>
                <c:pt idx="42">
                  <c:v>155.14262761239527</c:v>
                </c:pt>
                <c:pt idx="43">
                  <c:v>162.30357198844493</c:v>
                </c:pt>
                <c:pt idx="44">
                  <c:v>169.60373201652374</c:v>
                </c:pt>
                <c:pt idx="45">
                  <c:v>177.04223502365312</c:v>
                </c:pt>
                <c:pt idx="46">
                  <c:v>184.61823433855582</c:v>
                </c:pt>
                <c:pt idx="47">
                  <c:v>192.3309079392582</c:v>
                </c:pt>
                <c:pt idx="48">
                  <c:v>200.17945719953181</c:v>
                </c:pt>
                <c:pt idx="49">
                  <c:v>208.16310572497099</c:v>
                </c:pt>
                <c:pt idx="50">
                  <c:v>216.2810982705349</c:v>
                </c:pt>
                <c:pt idx="51">
                  <c:v>224.53269973228115</c:v>
                </c:pt>
                <c:pt idx="52">
                  <c:v>232.91719420680073</c:v>
                </c:pt>
                <c:pt idx="53">
                  <c:v>241.43388411254983</c:v>
                </c:pt>
                <c:pt idx="54">
                  <c:v>250.08208936787426</c:v>
                </c:pt>
                <c:pt idx="55">
                  <c:v>258.86114662105126</c:v>
                </c:pt>
                <c:pt idx="56">
                  <c:v>267.77040852813923</c:v>
                </c:pt>
                <c:pt idx="57">
                  <c:v>276.80924307483787</c:v>
                </c:pt>
                <c:pt idx="58">
                  <c:v>285.97703293892579</c:v>
                </c:pt>
                <c:pt idx="59">
                  <c:v>295.27317489016713</c:v>
                </c:pt>
                <c:pt idx="60">
                  <c:v>304.6970792248664</c:v>
                </c:pt>
                <c:pt idx="61">
                  <c:v>314.24816923250853</c:v>
                </c:pt>
                <c:pt idx="62">
                  <c:v>323.92588069215026</c:v>
                </c:pt>
                <c:pt idx="63">
                  <c:v>333.72966139643506</c:v>
                </c:pt>
                <c:pt idx="64">
                  <c:v>343.6589707012879</c:v>
                </c:pt>
                <c:pt idx="65">
                  <c:v>353.71327909951225</c:v>
                </c:pt>
                <c:pt idx="66">
                  <c:v>363.89206781666127</c:v>
                </c:pt>
                <c:pt idx="67">
                  <c:v>374.19482842768895</c:v>
                </c:pt>
                <c:pt idx="68">
                  <c:v>384.62106249300894</c:v>
                </c:pt>
                <c:pt idx="69">
                  <c:v>395.17028121269931</c:v>
                </c:pt>
                <c:pt idx="70">
                  <c:v>405.84200509769033</c:v>
                </c:pt>
                <c:pt idx="71">
                  <c:v>416.63576365686328</c:v>
                </c:pt>
                <c:pt idx="72">
                  <c:v>427.55109509907049</c:v>
                </c:pt>
                <c:pt idx="73">
                  <c:v>438.58754604916169</c:v>
                </c:pt>
                <c:pt idx="74">
                  <c:v>449.74467127716952</c:v>
                </c:pt>
                <c:pt idx="75">
                  <c:v>461.02203343987014</c:v>
                </c:pt>
                <c:pt idx="76">
                  <c:v>472.41920283399082</c:v>
                </c:pt>
                <c:pt idx="77">
                  <c:v>483.93575716038919</c:v>
                </c:pt>
                <c:pt idx="78">
                  <c:v>495.5712812985758</c:v>
                </c:pt>
                <c:pt idx="79">
                  <c:v>507.32536709099651</c:v>
                </c:pt>
                <c:pt idx="80">
                  <c:v>519.19761313652975</c:v>
                </c:pt>
                <c:pt idx="81">
                  <c:v>531.18762459269203</c:v>
                </c:pt>
                <c:pt idx="82">
                  <c:v>543.29501298607886</c:v>
                </c:pt>
                <c:pt idx="83">
                  <c:v>555.51939603059839</c:v>
                </c:pt>
                <c:pt idx="84">
                  <c:v>567.86039745308551</c:v>
                </c:pt>
                <c:pt idx="85">
                  <c:v>580.31764682590972</c:v>
                </c:pt>
                <c:pt idx="86">
                  <c:v>592.89077940621542</c:v>
                </c:pt>
                <c:pt idx="87">
                  <c:v>605.57943598145528</c:v>
                </c:pt>
                <c:pt idx="88">
                  <c:v>618.38326272089944</c:v>
                </c:pt>
                <c:pt idx="89">
                  <c:v>631.3019110328222</c:v>
                </c:pt>
                <c:pt idx="90">
                  <c:v>644.33503742708558</c:v>
                </c:pt>
                <c:pt idx="91">
                  <c:v>657.48230338285714</c:v>
                </c:pt>
                <c:pt idx="92">
                  <c:v>670.74337522121448</c:v>
                </c:pt>
                <c:pt idx="93">
                  <c:v>684.11792398240323</c:v>
                </c:pt>
                <c:pt idx="94">
                  <c:v>697.60562530752884</c:v>
                </c:pt>
                <c:pt idx="95">
                  <c:v>711.20615932447583</c:v>
                </c:pt>
                <c:pt idx="96">
                  <c:v>724.91921053785927</c:v>
                </c:pt>
                <c:pt idx="97">
                  <c:v>738.74446772282408</c:v>
                </c:pt>
                <c:pt idx="98">
                  <c:v>752.6816238225191</c:v>
                </c:pt>
                <c:pt idx="99">
                  <c:v>766.7303758490807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9-7747-B7B7-1416A1AEF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627920"/>
        <c:axId val="1"/>
      </c:lineChart>
      <c:catAx>
        <c:axId val="108362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627920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4942370950786299"/>
          <c:y val="0.51957061170543783"/>
          <c:w val="0.21116231045347691"/>
          <c:h val="8.9388492336419406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Canopy Mass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species14!$R$45:$R$144</c:f>
              <c:numCache>
                <c:formatCode>General</c:formatCode>
                <c:ptCount val="100"/>
                <c:pt idx="0">
                  <c:v>2.6999999999999911E-7</c:v>
                </c:pt>
                <c:pt idx="1">
                  <c:v>1.6328506456858384E-4</c:v>
                </c:pt>
                <c:pt idx="2">
                  <c:v>3.6513966488101227E-3</c:v>
                </c:pt>
                <c:pt idx="3">
                  <c:v>1.8788077509689638E-2</c:v>
                </c:pt>
                <c:pt idx="4">
                  <c:v>5.0773797983148294E-2</c:v>
                </c:pt>
                <c:pt idx="5">
                  <c:v>0.13201961944096244</c:v>
                </c:pt>
                <c:pt idx="6">
                  <c:v>0.21798324798603788</c:v>
                </c:pt>
                <c:pt idx="7">
                  <c:v>0.31790099206183881</c:v>
                </c:pt>
                <c:pt idx="8">
                  <c:v>0.42942176930998666</c:v>
                </c:pt>
                <c:pt idx="9">
                  <c:v>0.5509309928737669</c:v>
                </c:pt>
                <c:pt idx="10">
                  <c:v>0.68125485679260422</c:v>
                </c:pt>
                <c:pt idx="11">
                  <c:v>0.8195008488610851</c:v>
                </c:pt>
                <c:pt idx="12">
                  <c:v>0.96496616797977441</c:v>
                </c:pt>
                <c:pt idx="13">
                  <c:v>1.1170818745691824</c:v>
                </c:pt>
                <c:pt idx="14">
                  <c:v>1.2753770295193465</c:v>
                </c:pt>
                <c:pt idx="15">
                  <c:v>1.4394546498893648</c:v>
                </c:pt>
                <c:pt idx="16">
                  <c:v>1.6089749916459755</c:v>
                </c:pt>
                <c:pt idx="17">
                  <c:v>1.7836435645917408</c:v>
                </c:pt>
                <c:pt idx="18">
                  <c:v>1.9632023121807576</c:v>
                </c:pt>
                <c:pt idx="19">
                  <c:v>2.1474229726564853</c:v>
                </c:pt>
                <c:pt idx="20">
                  <c:v>2.3361019833875716</c:v>
                </c:pt>
                <c:pt idx="21">
                  <c:v>2.5290565021687592</c:v>
                </c:pt>
                <c:pt idx="22">
                  <c:v>2.7261212534002683</c:v>
                </c:pt>
                <c:pt idx="23">
                  <c:v>2.9271459943956963</c:v>
                </c:pt>
                <c:pt idx="24">
                  <c:v>3.1319934553626019</c:v>
                </c:pt>
                <c:pt idx="25">
                  <c:v>3.3405376463853944</c:v>
                </c:pt>
                <c:pt idx="26">
                  <c:v>3.5526624524423669</c:v>
                </c:pt>
                <c:pt idx="27">
                  <c:v>3.7682604571293812</c:v>
                </c:pt>
                <c:pt idx="28">
                  <c:v>3.9872319499179811</c:v>
                </c:pt>
                <c:pt idx="29">
                  <c:v>4.2094840821312376</c:v>
                </c:pt>
                <c:pt idx="30">
                  <c:v>4.4349301445003526</c:v>
                </c:pt>
                <c:pt idx="31">
                  <c:v>4.6634889449326655</c:v>
                </c:pt>
                <c:pt idx="32">
                  <c:v>4.89508426950293</c:v>
                </c:pt>
                <c:pt idx="33">
                  <c:v>5.1296444130443097</c:v>
                </c:pt>
                <c:pt idx="34">
                  <c:v>5.3671017683242654</c:v>
                </c:pt>
                <c:pt idx="35">
                  <c:v>5.607392464832345</c:v>
                </c:pt>
                <c:pt idx="36">
                  <c:v>5.8504560498184821</c:v>
                </c:pt>
                <c:pt idx="37">
                  <c:v>6.0962352055028068</c:v>
                </c:pt>
                <c:pt idx="38">
                  <c:v>6.3446754974057304</c:v>
                </c:pt>
                <c:pt idx="39">
                  <c:v>6.5957251495769667</c:v>
                </c:pt>
                <c:pt idx="40">
                  <c:v>6.8493348431762184</c:v>
                </c:pt>
                <c:pt idx="41">
                  <c:v>7.1054575354097533</c:v>
                </c:pt>
                <c:pt idx="42">
                  <c:v>7.3640482962801537</c:v>
                </c:pt>
                <c:pt idx="43">
                  <c:v>7.625064160981621</c:v>
                </c:pt>
                <c:pt idx="44">
                  <c:v>7.8884639960846394</c:v>
                </c:pt>
                <c:pt idx="45">
                  <c:v>8.1542083779142835</c:v>
                </c:pt>
                <c:pt idx="46">
                  <c:v>8.4222594817447316</c:v>
                </c:pt>
                <c:pt idx="47">
                  <c:v>8.6925809806168122</c:v>
                </c:pt>
                <c:pt idx="48">
                  <c:v>8.9651379527413031</c:v>
                </c:pt>
                <c:pt idx="49">
                  <c:v>9.2398967965831442</c:v>
                </c:pt>
                <c:pt idx="50">
                  <c:v>9.5168251528348389</c:v>
                </c:pt>
                <c:pt idx="51">
                  <c:v>9.7958918325841253</c:v>
                </c:pt>
                <c:pt idx="52">
                  <c:v>10.077066751064256</c:v>
                </c:pt>
                <c:pt idx="53">
                  <c:v>10.360320866446788</c:v>
                </c:pt>
                <c:pt idx="54">
                  <c:v>10.645626123199058</c:v>
                </c:pt>
                <c:pt idx="55">
                  <c:v>10.932955399582326</c:v>
                </c:pt>
                <c:pt idx="56">
                  <c:v>11.222282458913089</c:v>
                </c:pt>
                <c:pt idx="57">
                  <c:v>11.51358190425157</c:v>
                </c:pt>
                <c:pt idx="58">
                  <c:v>11.806829136216541</c:v>
                </c:pt>
                <c:pt idx="59">
                  <c:v>12.102000313657431</c:v>
                </c:pt>
                <c:pt idx="60">
                  <c:v>12.399072316942133</c:v>
                </c:pt>
                <c:pt idx="61">
                  <c:v>12.698022713643194</c:v>
                </c:pt>
                <c:pt idx="62">
                  <c:v>12.998829726426695</c:v>
                </c:pt>
                <c:pt idx="63">
                  <c:v>13.301472202967226</c:v>
                </c:pt>
                <c:pt idx="64">
                  <c:v>13.605929587728882</c:v>
                </c:pt>
                <c:pt idx="65">
                  <c:v>13.912181895467919</c:v>
                </c:pt>
                <c:pt idx="66">
                  <c:v>14.220209686325406</c:v>
                </c:pt>
                <c:pt idx="67">
                  <c:v>14.529994042390525</c:v>
                </c:pt>
                <c:pt idx="68">
                  <c:v>14.841516545626069</c:v>
                </c:pt>
                <c:pt idx="69">
                  <c:v>15.154759257056689</c:v>
                </c:pt>
                <c:pt idx="70">
                  <c:v>15.469704697129769</c:v>
                </c:pt>
                <c:pt idx="71">
                  <c:v>15.786335827165805</c:v>
                </c:pt>
                <c:pt idx="72">
                  <c:v>16.104636031822967</c:v>
                </c:pt>
                <c:pt idx="73">
                  <c:v>16.42458910250603</c:v>
                </c:pt>
                <c:pt idx="74">
                  <c:v>16.746179221656053</c:v>
                </c:pt>
                <c:pt idx="75">
                  <c:v>17.069390947862242</c:v>
                </c:pt>
                <c:pt idx="76">
                  <c:v>17.394209201741898</c:v>
                </c:pt>
                <c:pt idx="77">
                  <c:v>17.720619252538853</c:v>
                </c:pt>
                <c:pt idx="78">
                  <c:v>18.048606705394498</c:v>
                </c:pt>
                <c:pt idx="79">
                  <c:v>18.378157489249073</c:v>
                </c:pt>
                <c:pt idx="80">
                  <c:v>18.709257845333923</c:v>
                </c:pt>
                <c:pt idx="81">
                  <c:v>19.041894316218638</c:v>
                </c:pt>
                <c:pt idx="82">
                  <c:v>19.376053735379493</c:v>
                </c:pt>
                <c:pt idx="83">
                  <c:v>19.711723217257802</c:v>
                </c:pt>
                <c:pt idx="84">
                  <c:v>20.048890147779577</c:v>
                </c:pt>
                <c:pt idx="85">
                  <c:v>20.387542175309378</c:v>
                </c:pt>
                <c:pt idx="86">
                  <c:v>20.727667202013574</c:v>
                </c:pt>
                <c:pt idx="87">
                  <c:v>21.069253375609442</c:v>
                </c:pt>
                <c:pt idx="88">
                  <c:v>21.412289081478768</c:v>
                </c:pt>
                <c:pt idx="89">
                  <c:v>21.756762935125419</c:v>
                </c:pt>
                <c:pt idx="90">
                  <c:v>22.102663774958355</c:v>
                </c:pt>
                <c:pt idx="91">
                  <c:v>22.449980655381854</c:v>
                </c:pt>
                <c:pt idx="92">
                  <c:v>22.798702840177331</c:v>
                </c:pt>
                <c:pt idx="93">
                  <c:v>23.148819796160428</c:v>
                </c:pt>
                <c:pt idx="94">
                  <c:v>23.500321187099516</c:v>
                </c:pt>
                <c:pt idx="95">
                  <c:v>23.853196867881977</c:v>
                </c:pt>
                <c:pt idx="96">
                  <c:v>24.207436878915249</c:v>
                </c:pt>
                <c:pt idx="97">
                  <c:v>24.56303144075115</c:v>
                </c:pt>
                <c:pt idx="98">
                  <c:v>24.919970948922025</c:v>
                </c:pt>
                <c:pt idx="99">
                  <c:v>25.278245968978386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4-AF44-9A53-D99316FE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488943"/>
        <c:axId val="1"/>
      </c:lineChart>
      <c:catAx>
        <c:axId val="683488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488943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3202017496041896"/>
          <c:y val="0.51774876220881472"/>
          <c:w val="0.35601136437643854"/>
          <c:h val="0.18440366873190661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DBH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species14!$S$45:$S$144</c:f>
              <c:numCache>
                <c:formatCode>General</c:formatCode>
                <c:ptCount val="100"/>
                <c:pt idx="0">
                  <c:v>2.9730027849685884E-4</c:v>
                </c:pt>
                <c:pt idx="1">
                  <c:v>1.0911538464146696E-3</c:v>
                </c:pt>
                <c:pt idx="2">
                  <c:v>4.8276882850917004E-3</c:v>
                </c:pt>
                <c:pt idx="3">
                  <c:v>1.0573385144901483E-2</c:v>
                </c:pt>
                <c:pt idx="4">
                  <c:v>1.7015534242850565E-2</c:v>
                </c:pt>
                <c:pt idx="5">
                  <c:v>2.3602859880014041E-2</c:v>
                </c:pt>
                <c:pt idx="6">
                  <c:v>3.1048857605403549E-2</c:v>
                </c:pt>
                <c:pt idx="7">
                  <c:v>3.816333528542052E-2</c:v>
                </c:pt>
                <c:pt idx="8">
                  <c:v>4.4983364766808094E-2</c:v>
                </c:pt>
                <c:pt idx="9">
                  <c:v>5.1549098592309044E-2</c:v>
                </c:pt>
                <c:pt idx="10">
                  <c:v>5.789502904280882E-2</c:v>
                </c:pt>
                <c:pt idx="11">
                  <c:v>6.4049398225611287E-2</c:v>
                </c:pt>
                <c:pt idx="12">
                  <c:v>7.0035181582508668E-2</c:v>
                </c:pt>
                <c:pt idx="13">
                  <c:v>7.5871184881083728E-2</c:v>
                </c:pt>
                <c:pt idx="14">
                  <c:v>8.157295664777417E-2</c:v>
                </c:pt>
                <c:pt idx="15">
                  <c:v>8.7153493829422585E-2</c:v>
                </c:pt>
                <c:pt idx="16">
                  <c:v>9.2623777129570428E-2</c:v>
                </c:pt>
                <c:pt idx="17">
                  <c:v>9.7993176889696679E-2</c:v>
                </c:pt>
                <c:pt idx="18">
                  <c:v>0.10326976292224441</c:v>
                </c:pt>
                <c:pt idx="19">
                  <c:v>0.10846054334472037</c:v>
                </c:pt>
                <c:pt idx="20">
                  <c:v>0.11357165067690654</c:v>
                </c:pt>
                <c:pt idx="21">
                  <c:v>0.11860848842922493</c:v>
                </c:pt>
                <c:pt idx="22">
                  <c:v>0.12357584779214498</c:v>
                </c:pt>
                <c:pt idx="23">
                  <c:v>0.12847800145901933</c:v>
                </c:pt>
                <c:pt idx="24">
                  <c:v>0.1333187797764106</c:v>
                </c:pt>
                <c:pt idx="25">
                  <c:v>0.13810163309693166</c:v>
                </c:pt>
                <c:pt idx="26">
                  <c:v>0.14282968325523482</c:v>
                </c:pt>
                <c:pt idx="27">
                  <c:v>0.14750576639069002</c:v>
                </c:pt>
                <c:pt idx="28">
                  <c:v>0.15213246882610584</c:v>
                </c:pt>
                <c:pt idx="29">
                  <c:v>0.15671215732883431</c:v>
                </c:pt>
                <c:pt idx="30">
                  <c:v>0.16124700479253543</c:v>
                </c:pt>
                <c:pt idx="31">
                  <c:v>0.16573901215921719</c:v>
                </c:pt>
                <c:pt idx="32">
                  <c:v>0.17019002723368415</c:v>
                </c:pt>
                <c:pt idx="33">
                  <c:v>0.17460176091317289</c:v>
                </c:pt>
                <c:pt idx="34">
                  <c:v>0.17897580125421597</c:v>
                </c:pt>
                <c:pt idx="35">
                  <c:v>0.18331362571973406</c:v>
                </c:pt>
                <c:pt idx="36">
                  <c:v>0.18761661188687642</c:v>
                </c:pt>
                <c:pt idx="37">
                  <c:v>0.19188604684640412</c:v>
                </c:pt>
                <c:pt idx="38">
                  <c:v>0.19612313548456858</c:v>
                </c:pt>
                <c:pt idx="39">
                  <c:v>0.20032900780632573</c:v>
                </c:pt>
                <c:pt idx="40">
                  <c:v>0.20450472543267581</c:v>
                </c:pt>
                <c:pt idx="41">
                  <c:v>0.20865128738368691</c:v>
                </c:pt>
                <c:pt idx="42">
                  <c:v>0.21276963524134068</c:v>
                </c:pt>
                <c:pt idx="43">
                  <c:v>0.21686065777199193</c:v>
                </c:pt>
                <c:pt idx="44">
                  <c:v>0.22092519507635069</c:v>
                </c:pt>
                <c:pt idx="45">
                  <c:v>0.22496404232501158</c:v>
                </c:pt>
                <c:pt idx="46">
                  <c:v>0.22897795312929281</c:v>
                </c:pt>
                <c:pt idx="47">
                  <c:v>0.23296764259022024</c:v>
                </c:pt>
                <c:pt idx="48">
                  <c:v>0.2369337900626512</c:v>
                </c:pt>
                <c:pt idx="49">
                  <c:v>0.24087704166659504</c:v>
                </c:pt>
                <c:pt idx="50">
                  <c:v>0.24479801257359407</c:v>
                </c:pt>
                <c:pt idx="51">
                  <c:v>0.24869728909246308</c:v>
                </c:pt>
                <c:pt idx="52">
                  <c:v>0.25257543057562659</c:v>
                </c:pt>
                <c:pt idx="53">
                  <c:v>0.25643297116468178</c:v>
                </c:pt>
                <c:pt idx="54">
                  <c:v>0.26027042139155909</c:v>
                </c:pt>
                <c:pt idx="55">
                  <c:v>0.26408826964971599</c:v>
                </c:pt>
                <c:pt idx="56">
                  <c:v>0.26788698354811008</c:v>
                </c:pt>
                <c:pt idx="57">
                  <c:v>0.27166701115924874</c:v>
                </c:pt>
                <c:pt idx="58">
                  <c:v>0.27542878217133693</c:v>
                </c:pt>
                <c:pt idx="59">
                  <c:v>0.27917270895344154</c:v>
                </c:pt>
                <c:pt idx="60">
                  <c:v>0.28289918754162119</c:v>
                </c:pt>
                <c:pt idx="61">
                  <c:v>0.28660859855312404</c:v>
                </c:pt>
                <c:pt idx="62">
                  <c:v>0.29030130803500809</c:v>
                </c:pt>
                <c:pt idx="63">
                  <c:v>0.29397766825288646</c:v>
                </c:pt>
                <c:pt idx="64">
                  <c:v>0.29763801842491633</c:v>
                </c:pt>
                <c:pt idx="65">
                  <c:v>0.30128268540564196</c:v>
                </c:pt>
                <c:pt idx="66">
                  <c:v>0.30491198432384758</c:v>
                </c:pt>
                <c:pt idx="67">
                  <c:v>0.30852621917817102</c:v>
                </c:pt>
                <c:pt idx="68">
                  <c:v>0.31212568339387398</c:v>
                </c:pt>
                <c:pt idx="69">
                  <c:v>0.31571066034384432</c:v>
                </c:pt>
                <c:pt idx="70">
                  <c:v>0.31928142383661906</c:v>
                </c:pt>
                <c:pt idx="71">
                  <c:v>0.32283823857396432</c:v>
                </c:pt>
                <c:pt idx="72">
                  <c:v>0.32638136058031991</c:v>
                </c:pt>
                <c:pt idx="73">
                  <c:v>0.32991103760620888</c:v>
                </c:pt>
                <c:pt idx="74">
                  <c:v>0.33342750950753258</c:v>
                </c:pt>
                <c:pt idx="75">
                  <c:v>0.33693100860250247</c:v>
                </c:pt>
                <c:pt idx="76">
                  <c:v>0.34042176000781088</c:v>
                </c:pt>
                <c:pt idx="77">
                  <c:v>0.34389998195551191</c:v>
                </c:pt>
                <c:pt idx="78">
                  <c:v>0.34736588609195695</c:v>
                </c:pt>
                <c:pt idx="79">
                  <c:v>0.35081967776002199</c:v>
                </c:pt>
                <c:pt idx="80">
                  <c:v>0.35426155626576256</c:v>
                </c:pt>
                <c:pt idx="81">
                  <c:v>0.35769171513054404</c:v>
                </c:pt>
                <c:pt idx="82">
                  <c:v>0.36111034232960798</c:v>
                </c:pt>
                <c:pt idx="83">
                  <c:v>0.36451762051796349</c:v>
                </c:pt>
                <c:pt idx="84">
                  <c:v>0.3679137272444265</c:v>
                </c:pt>
                <c:pt idx="85">
                  <c:v>0.37129883515456052</c:v>
                </c:pt>
                <c:pt idx="86">
                  <c:v>0.37467311218322169</c:v>
                </c:pt>
                <c:pt idx="87">
                  <c:v>0.37803672173735731</c:v>
                </c:pt>
                <c:pt idx="88">
                  <c:v>0.38138982286965945</c:v>
                </c:pt>
                <c:pt idx="89">
                  <c:v>0.38473257044362963</c:v>
                </c:pt>
                <c:pt idx="90">
                  <c:v>0.38806511529057275</c:v>
                </c:pt>
                <c:pt idx="91">
                  <c:v>0.39138760435900299</c:v>
                </c:pt>
                <c:pt idx="92">
                  <c:v>0.39470018085690833</c:v>
                </c:pt>
                <c:pt idx="93">
                  <c:v>0.3980029843872871</c:v>
                </c:pt>
                <c:pt idx="94">
                  <c:v>0.40129615107734939</c:v>
                </c:pt>
                <c:pt idx="95">
                  <c:v>0.40457981370174134</c:v>
                </c:pt>
                <c:pt idx="96">
                  <c:v>0.40785410180012971</c:v>
                </c:pt>
                <c:pt idx="97">
                  <c:v>0.41111914178946352</c:v>
                </c:pt>
                <c:pt idx="98">
                  <c:v>0.41437505707120492</c:v>
                </c:pt>
                <c:pt idx="99">
                  <c:v>0.41762196813380675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A-1D41-B330-7FA12EFC4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328303"/>
        <c:axId val="1"/>
      </c:lineChart>
      <c:catAx>
        <c:axId val="683328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328303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8095689739013632"/>
          <c:y val="0.53074417324749024"/>
          <c:w val="0.30351221712246074"/>
          <c:h val="8.9388492336419406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Growth/yr over Time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species14!$K$45:$K$144</c:f>
              <c:numCache>
                <c:formatCode>General</c:formatCode>
                <c:ptCount val="100"/>
                <c:pt idx="0">
                  <c:v>2.6999999999999999E-5</c:v>
                </c:pt>
                <c:pt idx="1">
                  <c:v>6.5269713571626932E-4</c:v>
                </c:pt>
                <c:pt idx="2">
                  <c:v>2.2345990927868931E-2</c:v>
                </c:pt>
                <c:pt idx="3">
                  <c:v>0.12407140824670859</c:v>
                </c:pt>
                <c:pt idx="4">
                  <c:v>0.30629189596019141</c:v>
                </c:pt>
                <c:pt idx="5">
                  <c:v>0.53005232330802143</c:v>
                </c:pt>
                <c:pt idx="6">
                  <c:v>0.89796000703462087</c:v>
                </c:pt>
                <c:pt idx="7">
                  <c:v>1.184131872077786</c:v>
                </c:pt>
                <c:pt idx="8">
                  <c:v>1.4581423140540446</c:v>
                </c:pt>
                <c:pt idx="9">
                  <c:v>1.721243810596105</c:v>
                </c:pt>
                <c:pt idx="10">
                  <c:v>1.9748733831827245</c:v>
                </c:pt>
                <c:pt idx="11">
                  <c:v>2.2202871885159294</c:v>
                </c:pt>
                <c:pt idx="12">
                  <c:v>2.4585227930260709</c:v>
                </c:pt>
                <c:pt idx="13">
                  <c:v>2.6904288458595333</c:v>
                </c:pt>
                <c:pt idx="14">
                  <c:v>2.9167025857084616</c:v>
                </c:pt>
                <c:pt idx="15">
                  <c:v>3.1379220986835255</c:v>
                </c:pt>
                <c:pt idx="16">
                  <c:v>3.3545716641294026</c:v>
                </c:pt>
                <c:pt idx="17">
                  <c:v>3.5670611638742247</c:v>
                </c:pt>
                <c:pt idx="18">
                  <c:v>3.7757408906470302</c:v>
                </c:pt>
                <c:pt idx="19">
                  <c:v>3.9809129037395081</c:v>
                </c:pt>
                <c:pt idx="20">
                  <c:v>4.1828398129646303</c:v>
                </c:pt>
                <c:pt idx="21">
                  <c:v>4.3817516419616638</c:v>
                </c:pt>
                <c:pt idx="22">
                  <c:v>4.5778512466482582</c:v>
                </c:pt>
                <c:pt idx="23">
                  <c:v>4.7713186366828975</c:v>
                </c:pt>
                <c:pt idx="24">
                  <c:v>4.9623144557237957</c:v>
                </c:pt>
                <c:pt idx="25">
                  <c:v>5.1509828101193298</c:v>
                </c:pt>
                <c:pt idx="26">
                  <c:v>5.3374535879399154</c:v>
                </c:pt>
                <c:pt idx="27">
                  <c:v>5.5218443755816127</c:v>
                </c:pt>
                <c:pt idx="28">
                  <c:v>5.7042620537535909</c:v>
                </c:pt>
                <c:pt idx="29">
                  <c:v>5.8848041358590928</c:v>
                </c:pt>
                <c:pt idx="30">
                  <c:v>6.0635598977398466</c:v>
                </c:pt>
                <c:pt idx="31">
                  <c:v>6.2406113371727692</c:v>
                </c:pt>
                <c:pt idx="32">
                  <c:v>6.4160339934614372</c:v>
                </c:pt>
                <c:pt idx="33">
                  <c:v>6.5898976512920466</c:v>
                </c:pt>
                <c:pt idx="34">
                  <c:v>6.7622669482492812</c:v>
                </c:pt>
                <c:pt idx="35">
                  <c:v>6.9332019016647877</c:v>
                </c:pt>
                <c:pt idx="36">
                  <c:v>7.1027583675466825</c:v>
                </c:pt>
                <c:pt idx="37">
                  <c:v>7.2709884420244633</c:v>
                </c:pt>
                <c:pt idx="38">
                  <c:v>7.4379408139004601</c:v>
                </c:pt>
                <c:pt idx="39">
                  <c:v>7.603661075420681</c:v>
                </c:pt>
                <c:pt idx="40">
                  <c:v>7.7681919971854239</c:v>
                </c:pt>
                <c:pt idx="41">
                  <c:v>7.931573772152122</c:v>
                </c:pt>
                <c:pt idx="42">
                  <c:v>8.0938442328932894</c:v>
                </c:pt>
                <c:pt idx="43">
                  <c:v>8.2550390456242226</c:v>
                </c:pt>
                <c:pt idx="44">
                  <c:v>8.4151918839810609</c:v>
                </c:pt>
                <c:pt idx="45">
                  <c:v>8.5743345850869463</c:v>
                </c:pt>
                <c:pt idx="46">
                  <c:v>8.7324972900757931</c:v>
                </c:pt>
                <c:pt idx="47">
                  <c:v>8.8897085709349479</c:v>
                </c:pt>
                <c:pt idx="48">
                  <c:v>9.0459955452695535</c:v>
                </c:pt>
                <c:pt idx="49">
                  <c:v>9.2013839803734871</c:v>
                </c:pt>
                <c:pt idx="50">
                  <c:v>9.3558983878072794</c:v>
                </c:pt>
                <c:pt idx="51">
                  <c:v>9.5095621095268736</c:v>
                </c:pt>
                <c:pt idx="52">
                  <c:v>9.6623973964735459</c:v>
                </c:pt>
                <c:pt idx="53">
                  <c:v>9.8144254804214164</c:v>
                </c:pt>
                <c:pt idx="54">
                  <c:v>9.9656666397807196</c:v>
                </c:pt>
                <c:pt idx="55">
                  <c:v>10.116140259971225</c:v>
                </c:pt>
                <c:pt idx="56">
                  <c:v>10.265864888907123</c:v>
                </c:pt>
                <c:pt idx="57">
                  <c:v>10.414858288071915</c:v>
                </c:pt>
                <c:pt idx="58">
                  <c:v>10.563137479607349</c:v>
                </c:pt>
                <c:pt idx="59">
                  <c:v>10.710718789792603</c:v>
                </c:pt>
                <c:pt idx="60">
                  <c:v>10.857617889248843</c:v>
                </c:pt>
                <c:pt idx="61">
                  <c:v>11.003849830167633</c:v>
                </c:pt>
                <c:pt idx="62">
                  <c:v>11.149429080830155</c:v>
                </c:pt>
                <c:pt idx="63">
                  <c:v>11.294369557656029</c:v>
                </c:pt>
                <c:pt idx="64">
                  <c:v>11.438684654996184</c:v>
                </c:pt>
                <c:pt idx="65">
                  <c:v>11.582387272862119</c:v>
                </c:pt>
                <c:pt idx="66">
                  <c:v>11.725489842765093</c:v>
                </c:pt>
                <c:pt idx="67">
                  <c:v>11.868004351821476</c:v>
                </c:pt>
                <c:pt idx="68">
                  <c:v>12.009942365265362</c:v>
                </c:pt>
                <c:pt idx="69">
                  <c:v>12.151315047496409</c:v>
                </c:pt>
                <c:pt idx="70">
                  <c:v>12.292133181778372</c:v>
                </c:pt>
                <c:pt idx="71">
                  <c:v>12.432407188693642</c:v>
                </c:pt>
                <c:pt idx="72">
                  <c:v>12.572147143448966</c:v>
                </c:pt>
                <c:pt idx="73">
                  <c:v>12.711362792119518</c:v>
                </c:pt>
                <c:pt idx="74">
                  <c:v>12.850063566910297</c:v>
                </c:pt>
                <c:pt idx="75">
                  <c:v>12.988258600507139</c:v>
                </c:pt>
                <c:pt idx="76">
                  <c:v>13.125956739583508</c:v>
                </c:pt>
                <c:pt idx="77">
                  <c:v>13.263166557523329</c:v>
                </c:pt>
                <c:pt idx="78">
                  <c:v>13.399896366415268</c:v>
                </c:pt>
                <c:pt idx="79">
                  <c:v>13.536154228369263</c:v>
                </c:pt>
                <c:pt idx="80">
                  <c:v>13.67194796620185</c:v>
                </c:pt>
                <c:pt idx="81">
                  <c:v>13.807285173533197</c:v>
                </c:pt>
                <c:pt idx="82">
                  <c:v>13.942173224335191</c:v>
                </c:pt>
                <c:pt idx="83">
                  <c:v>14.076619281967067</c:v>
                </c:pt>
                <c:pt idx="84">
                  <c:v>14.210630307731936</c:v>
                </c:pt>
                <c:pt idx="85">
                  <c:v>14.344213068985209</c:v>
                </c:pt>
                <c:pt idx="86">
                  <c:v>14.477374146823546</c:v>
                </c:pt>
                <c:pt idx="87">
                  <c:v>14.610119943380759</c:v>
                </c:pt>
                <c:pt idx="88">
                  <c:v>14.742456688755032</c:v>
                </c:pt>
                <c:pt idx="89">
                  <c:v>14.874390447590415</c:v>
                </c:pt>
                <c:pt idx="90">
                  <c:v>15.005927125333404</c:v>
                </c:pt>
                <c:pt idx="91">
                  <c:v>15.13707247418429</c:v>
                </c:pt>
                <c:pt idx="92">
                  <c:v>15.267832098761307</c:v>
                </c:pt>
                <c:pt idx="93">
                  <c:v>15.398211461494745</c:v>
                </c:pt>
                <c:pt idx="94">
                  <c:v>15.528215887766372</c:v>
                </c:pt>
                <c:pt idx="95">
                  <c:v>15.657850570809158</c:v>
                </c:pt>
                <c:pt idx="96">
                  <c:v>15.787120576380765</c:v>
                </c:pt>
                <c:pt idx="97">
                  <c:v>15.91603084722356</c:v>
                </c:pt>
                <c:pt idx="98">
                  <c:v>16.044586207323164</c:v>
                </c:pt>
                <c:pt idx="99">
                  <c:v>16.172791365976479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E-984D-95B8-A56B5716D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95391"/>
        <c:axId val="1"/>
      </c:lineChart>
      <c:catAx>
        <c:axId val="68269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2695391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66934468219215326"/>
          <c:y val="0.52484121100619574"/>
          <c:w val="0.31873556294864441"/>
          <c:h val="0.18440366873190661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Summary of Tree Height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Height</c:v>
          </c:tx>
          <c:spPr>
            <a:ln w="38100" cmpd="sng">
              <a:solidFill>
                <a:srgbClr val="6666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species14!$Q$45:$Q$144</c:f>
              <c:numCache>
                <c:formatCode>General</c:formatCode>
                <c:ptCount val="100"/>
                <c:pt idx="0">
                  <c:v>4.7568044559497411E-2</c:v>
                </c:pt>
                <c:pt idx="1">
                  <c:v>0.17458461542634712</c:v>
                </c:pt>
                <c:pt idx="2">
                  <c:v>0.77243012561467206</c:v>
                </c:pt>
                <c:pt idx="3">
                  <c:v>1.6917416231842373</c:v>
                </c:pt>
                <c:pt idx="4">
                  <c:v>2.7224854788560906</c:v>
                </c:pt>
                <c:pt idx="5">
                  <c:v>3.8948693388524767</c:v>
                </c:pt>
                <c:pt idx="6">
                  <c:v>5.402937051432005</c:v>
                </c:pt>
                <c:pt idx="7">
                  <c:v>6.5376598153998131</c:v>
                </c:pt>
                <c:pt idx="8">
                  <c:v>7.4419560882669558</c:v>
                </c:pt>
                <c:pt idx="9">
                  <c:v>8.1912869488352342</c:v>
                </c:pt>
                <c:pt idx="10">
                  <c:v>8.8298193625051518</c:v>
                </c:pt>
                <c:pt idx="11">
                  <c:v>9.3854464466248455</c:v>
                </c:pt>
                <c:pt idx="12">
                  <c:v>9.8768333696473931</c:v>
                </c:pt>
                <c:pt idx="13">
                  <c:v>10.317049281251089</c:v>
                </c:pt>
                <c:pt idx="14">
                  <c:v>10.715583829354395</c:v>
                </c:pt>
                <c:pt idx="15">
                  <c:v>11.079535701103321</c:v>
                </c:pt>
                <c:pt idx="16">
                  <c:v>11.414348311919353</c:v>
                </c:pt>
                <c:pt idx="17">
                  <c:v>11.724284155295427</c:v>
                </c:pt>
                <c:pt idx="18">
                  <c:v>12.012741386448482</c:v>
                </c:pt>
                <c:pt idx="19">
                  <c:v>12.282471446277967</c:v>
                </c:pt>
                <c:pt idx="20">
                  <c:v>12.53573253243378</c:v>
                </c:pt>
                <c:pt idx="21">
                  <c:v>12.774400273149286</c:v>
                </c:pt>
                <c:pt idx="22">
                  <c:v>13.000049124041141</c:v>
                </c:pt>
                <c:pt idx="23">
                  <c:v>13.214013287043977</c:v>
                </c:pt>
                <c:pt idx="24">
                  <c:v>13.417433020028351</c:v>
                </c:pt>
                <c:pt idx="25">
                  <c:v>13.611290337563609</c:v>
                </c:pt>
                <c:pt idx="26">
                  <c:v>13.796436883903787</c:v>
                </c:pt>
                <c:pt idx="27">
                  <c:v>13.973615946142624</c:v>
                </c:pt>
                <c:pt idx="28">
                  <c:v>14.143480022672756</c:v>
                </c:pt>
                <c:pt idx="29">
                  <c:v>14.306604979590078</c:v>
                </c:pt>
                <c:pt idx="30">
                  <c:v>14.463501558751688</c:v>
                </c:pt>
                <c:pt idx="31">
                  <c:v>14.614624809307248</c:v>
                </c:pt>
                <c:pt idx="32">
                  <c:v>14.76038187574053</c:v>
                </c:pt>
                <c:pt idx="33">
                  <c:v>14.901138473822277</c:v>
                </c:pt>
                <c:pt idx="34">
                  <c:v>15.037224310577409</c:v>
                </c:pt>
                <c:pt idx="35">
                  <c:v>15.168937647981862</c:v>
                </c:pt>
                <c:pt idx="36">
                  <c:v>15.296549167453243</c:v>
                </c:pt>
                <c:pt idx="37">
                  <c:v>15.420305259636077</c:v>
                </c:pt>
                <c:pt idx="38">
                  <c:v>15.540430838902653</c:v>
                </c:pt>
                <c:pt idx="39">
                  <c:v>15.657131762515958</c:v>
                </c:pt>
                <c:pt idx="40">
                  <c:v>15.770596919161997</c:v>
                </c:pt>
                <c:pt idx="41">
                  <c:v>15.88100003954775</c:v>
                </c:pt>
                <c:pt idx="42">
                  <c:v>15.988501272228913</c:v>
                </c:pt>
                <c:pt idx="43">
                  <c:v>16.093248560218331</c:v>
                </c:pt>
                <c:pt idx="44">
                  <c:v>16.195378847807913</c:v>
                </c:pt>
                <c:pt idx="45">
                  <c:v>16.29501914209191</c:v>
                </c:pt>
                <c:pt idx="46">
                  <c:v>16.392287449660611</c:v>
                </c:pt>
                <c:pt idx="47">
                  <c:v>16.487293605650578</c:v>
                </c:pt>
                <c:pt idx="48">
                  <c:v>16.580140009642065</c:v>
                </c:pt>
                <c:pt idx="49">
                  <c:v>16.6709222806711</c:v>
                </c:pt>
                <c:pt idx="50">
                  <c:v>16.759729841781372</c:v>
                </c:pt>
                <c:pt idx="51">
                  <c:v>16.846646443008243</c:v>
                </c:pt>
                <c:pt idx="52">
                  <c:v>16.931750630406189</c:v>
                </c:pt>
                <c:pt idx="53">
                  <c:v>17.015116167656576</c:v>
                </c:pt>
                <c:pt idx="54">
                  <c:v>17.096812415887896</c:v>
                </c:pt>
                <c:pt idx="55">
                  <c:v>17.176904676576253</c:v>
                </c:pt>
                <c:pt idx="56">
                  <c:v>17.255454501745291</c:v>
                </c:pt>
                <c:pt idx="57">
                  <c:v>17.332519975133664</c:v>
                </c:pt>
                <c:pt idx="58">
                  <c:v>17.408155967527037</c:v>
                </c:pt>
                <c:pt idx="59">
                  <c:v>17.482414369048911</c:v>
                </c:pt>
                <c:pt idx="60">
                  <c:v>17.555344300858366</c:v>
                </c:pt>
                <c:pt idx="61">
                  <c:v>17.626992308405104</c:v>
                </c:pt>
                <c:pt idx="62">
                  <c:v>17.697402538134654</c:v>
                </c:pt>
                <c:pt idx="63">
                  <c:v>17.766616899314272</c:v>
                </c:pt>
                <c:pt idx="64">
                  <c:v>17.834675212456474</c:v>
                </c:pt>
                <c:pt idx="65">
                  <c:v>17.901615345649212</c:v>
                </c:pt>
                <c:pt idx="66">
                  <c:v>17.967473339955049</c:v>
                </c:pt>
                <c:pt idx="67">
                  <c:v>18.032283524913353</c:v>
                </c:pt>
                <c:pt idx="68">
                  <c:v>18.09607862506752</c:v>
                </c:pt>
                <c:pt idx="69">
                  <c:v>18.158889858340416</c:v>
                </c:pt>
                <c:pt idx="70">
                  <c:v>18.22074702699468</c:v>
                </c:pt>
                <c:pt idx="71">
                  <c:v>18.281678601838003</c:v>
                </c:pt>
                <c:pt idx="72">
                  <c:v>18.34171180026603</c:v>
                </c:pt>
                <c:pt idx="73">
                  <c:v>18.400872658675777</c:v>
                </c:pt>
                <c:pt idx="74">
                  <c:v>18.459186099729514</c:v>
                </c:pt>
                <c:pt idx="75">
                  <c:v>18.516675994901988</c:v>
                </c:pt>
                <c:pt idx="76">
                  <c:v>18.573365222702058</c:v>
                </c:pt>
                <c:pt idx="77">
                  <c:v>18.629275722922571</c:v>
                </c:pt>
                <c:pt idx="78">
                  <c:v>18.684428547238866</c:v>
                </c:pt>
                <c:pt idx="79">
                  <c:v>18.738843906446792</c:v>
                </c:pt>
                <c:pt idx="80">
                  <c:v>18.792541214604224</c:v>
                </c:pt>
                <c:pt idx="81">
                  <c:v>18.845539130316389</c:v>
                </c:pt>
                <c:pt idx="82">
                  <c:v>18.897855595383721</c:v>
                </c:pt>
                <c:pt idx="83">
                  <c:v>18.949507871011747</c:v>
                </c:pt>
                <c:pt idx="84">
                  <c:v>19.000512571765121</c:v>
                </c:pt>
                <c:pt idx="85">
                  <c:v>19.050885697432253</c:v>
                </c:pt>
                <c:pt idx="86">
                  <c:v>19.100642662952783</c:v>
                </c:pt>
                <c:pt idx="87">
                  <c:v>19.149798326547476</c:v>
                </c:pt>
                <c:pt idx="88">
                  <c:v>19.198367016178487</c:v>
                </c:pt>
                <c:pt idx="89">
                  <c:v>19.246362554457331</c:v>
                </c:pt>
                <c:pt idx="90">
                  <c:v>19.293798282108618</c:v>
                </c:pt>
                <c:pt idx="91">
                  <c:v>19.340687080088721</c:v>
                </c:pt>
                <c:pt idx="92">
                  <c:v>19.387041390450882</c:v>
                </c:pt>
                <c:pt idx="93">
                  <c:v>19.432873236040891</c:v>
                </c:pt>
                <c:pt idx="94">
                  <c:v>19.478194239101164</c:v>
                </c:pt>
                <c:pt idx="95">
                  <c:v>19.523015638854908</c:v>
                </c:pt>
                <c:pt idx="96">
                  <c:v>19.567348308136744</c:v>
                </c:pt>
                <c:pt idx="97">
                  <c:v>19.611202769131076</c:v>
                </c:pt>
                <c:pt idx="98">
                  <c:v>19.65458920827508</c:v>
                </c:pt>
                <c:pt idx="99">
                  <c:v>19.697517490378857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5-6F4A-ACA1-0A3DEC19A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376655"/>
        <c:axId val="1"/>
      </c:lineChart>
      <c:catAx>
        <c:axId val="68337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337665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79072512578735576"/>
          <c:y val="0.55321100619571983"/>
          <c:w val="0.19768128144683894"/>
          <c:h val="0.11347918075809638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139700</xdr:colOff>
      <xdr:row>0</xdr:row>
      <xdr:rowOff>12700</xdr:rowOff>
    </xdr:from>
    <xdr:to>
      <xdr:col>12</xdr:col>
      <xdr:colOff>812800</xdr:colOff>
      <xdr:row>13</xdr:row>
      <xdr:rowOff>165100</xdr:rowOff>
    </xdr:to>
    <xdr:graphicFrame macro="">
      <xdr:nvGraphicFramePr>
        <xdr:cNvPr id="1046" name="Chart 97">
          <a:extLst>
            <a:ext uri="{FF2B5EF4-FFF2-40B4-BE49-F238E27FC236}">
              <a16:creationId xmlns:a16="http://schemas.microsoft.com/office/drawing/2014/main" id="{A2419B80-538D-D0E7-CC5E-68560EB73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14</xdr:col>
      <xdr:colOff>38100</xdr:colOff>
      <xdr:row>0</xdr:row>
      <xdr:rowOff>12700</xdr:rowOff>
    </xdr:from>
    <xdr:to>
      <xdr:col>17</xdr:col>
      <xdr:colOff>787400</xdr:colOff>
      <xdr:row>13</xdr:row>
      <xdr:rowOff>165100</xdr:rowOff>
    </xdr:to>
    <xdr:graphicFrame macro="">
      <xdr:nvGraphicFramePr>
        <xdr:cNvPr id="1047" name="Chart 98">
          <a:extLst>
            <a:ext uri="{FF2B5EF4-FFF2-40B4-BE49-F238E27FC236}">
              <a16:creationId xmlns:a16="http://schemas.microsoft.com/office/drawing/2014/main" id="{FFBA8AEE-9C9E-1A02-875A-D9D2979C3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 editAs="oneCell">
    <xdr:from>
      <xdr:col>14</xdr:col>
      <xdr:colOff>38100</xdr:colOff>
      <xdr:row>14</xdr:row>
      <xdr:rowOff>25400</xdr:rowOff>
    </xdr:from>
    <xdr:to>
      <xdr:col>17</xdr:col>
      <xdr:colOff>800100</xdr:colOff>
      <xdr:row>25</xdr:row>
      <xdr:rowOff>139700</xdr:rowOff>
    </xdr:to>
    <xdr:graphicFrame macro="">
      <xdr:nvGraphicFramePr>
        <xdr:cNvPr id="1048" name="Chart 99">
          <a:extLst>
            <a:ext uri="{FF2B5EF4-FFF2-40B4-BE49-F238E27FC236}">
              <a16:creationId xmlns:a16="http://schemas.microsoft.com/office/drawing/2014/main" id="{3E43FC0B-3CEF-4C78-B1C6-8955BFB0D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9</xdr:col>
      <xdr:colOff>139700</xdr:colOff>
      <xdr:row>0</xdr:row>
      <xdr:rowOff>12700</xdr:rowOff>
    </xdr:from>
    <xdr:to>
      <xdr:col>12</xdr:col>
      <xdr:colOff>812800</xdr:colOff>
      <xdr:row>15</xdr:row>
      <xdr:rowOff>0</xdr:rowOff>
    </xdr:to>
    <xdr:graphicFrame macro="">
      <xdr:nvGraphicFramePr>
        <xdr:cNvPr id="1049" name="Chart 100">
          <a:extLst>
            <a:ext uri="{FF2B5EF4-FFF2-40B4-BE49-F238E27FC236}">
              <a16:creationId xmlns:a16="http://schemas.microsoft.com/office/drawing/2014/main" id="{37E8A3B5-446B-8E02-6F42-A9F6F3CA1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 editAs="oneCell">
    <xdr:from>
      <xdr:col>9</xdr:col>
      <xdr:colOff>165100</xdr:colOff>
      <xdr:row>14</xdr:row>
      <xdr:rowOff>25400</xdr:rowOff>
    </xdr:from>
    <xdr:to>
      <xdr:col>12</xdr:col>
      <xdr:colOff>825500</xdr:colOff>
      <xdr:row>25</xdr:row>
      <xdr:rowOff>139700</xdr:rowOff>
    </xdr:to>
    <xdr:graphicFrame macro="">
      <xdr:nvGraphicFramePr>
        <xdr:cNvPr id="1050" name="Chart 101">
          <a:extLst>
            <a:ext uri="{FF2B5EF4-FFF2-40B4-BE49-F238E27FC236}">
              <a16:creationId xmlns:a16="http://schemas.microsoft.com/office/drawing/2014/main" id="{04A535B3-483D-7C82-0D31-57FB6F9FF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 editAs="oneCell">
    <xdr:from>
      <xdr:col>14</xdr:col>
      <xdr:colOff>38100</xdr:colOff>
      <xdr:row>0</xdr:row>
      <xdr:rowOff>12700</xdr:rowOff>
    </xdr:from>
    <xdr:to>
      <xdr:col>17</xdr:col>
      <xdr:colOff>787400</xdr:colOff>
      <xdr:row>15</xdr:row>
      <xdr:rowOff>0</xdr:rowOff>
    </xdr:to>
    <xdr:graphicFrame macro="">
      <xdr:nvGraphicFramePr>
        <xdr:cNvPr id="1051" name="Chart 102">
          <a:extLst>
            <a:ext uri="{FF2B5EF4-FFF2-40B4-BE49-F238E27FC236}">
              <a16:creationId xmlns:a16="http://schemas.microsoft.com/office/drawing/2014/main" id="{EC4162A9-7CA9-1715-315F-C278DCC5E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 editAs="oneCell">
    <xdr:from>
      <xdr:col>9</xdr:col>
      <xdr:colOff>139700</xdr:colOff>
      <xdr:row>26</xdr:row>
      <xdr:rowOff>25400</xdr:rowOff>
    </xdr:from>
    <xdr:to>
      <xdr:col>12</xdr:col>
      <xdr:colOff>812800</xdr:colOff>
      <xdr:row>37</xdr:row>
      <xdr:rowOff>139700</xdr:rowOff>
    </xdr:to>
    <xdr:graphicFrame macro="">
      <xdr:nvGraphicFramePr>
        <xdr:cNvPr id="1052" name="Chart 103">
          <a:extLst>
            <a:ext uri="{FF2B5EF4-FFF2-40B4-BE49-F238E27FC236}">
              <a16:creationId xmlns:a16="http://schemas.microsoft.com/office/drawing/2014/main" id="{F36C30D9-0875-9B9C-F1B7-F590948B4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 editAs="oneCell">
    <xdr:from>
      <xdr:col>14</xdr:col>
      <xdr:colOff>38100</xdr:colOff>
      <xdr:row>26</xdr:row>
      <xdr:rowOff>25400</xdr:rowOff>
    </xdr:from>
    <xdr:to>
      <xdr:col>17</xdr:col>
      <xdr:colOff>800100</xdr:colOff>
      <xdr:row>37</xdr:row>
      <xdr:rowOff>139700</xdr:rowOff>
    </xdr:to>
    <xdr:graphicFrame macro="">
      <xdr:nvGraphicFramePr>
        <xdr:cNvPr id="1053" name="Chart 104">
          <a:extLst>
            <a:ext uri="{FF2B5EF4-FFF2-40B4-BE49-F238E27FC236}">
              <a16:creationId xmlns:a16="http://schemas.microsoft.com/office/drawing/2014/main" id="{B9EFB386-3D31-B4F0-2DAC-46B371ABF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kthe/Desktop/Thesis/Working%20Files/Species%20Files/makingSpec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species"/>
      <sheetName val="species2"/>
      <sheetName val="species3"/>
      <sheetName val="species4"/>
      <sheetName val="species5"/>
      <sheetName val="species6"/>
      <sheetName val="species7"/>
      <sheetName val="species8"/>
      <sheetName val="species9"/>
      <sheetName val="species10"/>
      <sheetName val="species11"/>
      <sheetName val="species12"/>
      <sheetName val="species13"/>
      <sheetName val="species14"/>
      <sheetName val="species15"/>
      <sheetName val="species16"/>
      <sheetName val="species17"/>
      <sheetName val="species18"/>
      <sheetName val="species19"/>
      <sheetName val="species20"/>
      <sheetName val="species21"/>
      <sheetName val="species22"/>
    </sheetNames>
    <sheetDataSet>
      <sheetData sheetId="0">
        <row r="5">
          <cell r="AB5">
            <v>610</v>
          </cell>
        </row>
        <row r="6">
          <cell r="AB6">
            <v>11.31</v>
          </cell>
        </row>
        <row r="27">
          <cell r="AB27">
            <v>24.5</v>
          </cell>
        </row>
        <row r="30">
          <cell r="AB30">
            <v>5</v>
          </cell>
        </row>
        <row r="33">
          <cell r="AB33">
            <v>3.08</v>
          </cell>
        </row>
        <row r="34">
          <cell r="AB34">
            <v>1.84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C3">
            <v>0.7</v>
          </cell>
        </row>
        <row r="4">
          <cell r="C4">
            <v>1.0436000000000001</v>
          </cell>
        </row>
        <row r="7">
          <cell r="C7">
            <v>0.29020000000000001</v>
          </cell>
        </row>
        <row r="8">
          <cell r="C8">
            <v>0.97150000000000003</v>
          </cell>
        </row>
        <row r="11">
          <cell r="C11">
            <v>0.62</v>
          </cell>
        </row>
        <row r="12">
          <cell r="C12">
            <v>0.70920000000000005</v>
          </cell>
        </row>
        <row r="15">
          <cell r="C15">
            <v>3.3280261999999998E-2</v>
          </cell>
        </row>
        <row r="16">
          <cell r="C16">
            <v>0.40214961700000001</v>
          </cell>
        </row>
        <row r="19">
          <cell r="C19">
            <v>50.833129710000001</v>
          </cell>
        </row>
        <row r="20">
          <cell r="C20">
            <v>0.82616259400000003</v>
          </cell>
        </row>
        <row r="21">
          <cell r="C21">
            <v>0</v>
          </cell>
        </row>
        <row r="25">
          <cell r="C25">
            <v>8</v>
          </cell>
        </row>
        <row r="29">
          <cell r="C29">
            <v>-0.4577</v>
          </cell>
        </row>
        <row r="34">
          <cell r="C34">
            <v>9.07</v>
          </cell>
        </row>
        <row r="35">
          <cell r="C35">
            <v>2.9599999999999998E-4</v>
          </cell>
        </row>
        <row r="37">
          <cell r="C37">
            <v>0.99</v>
          </cell>
        </row>
        <row r="47">
          <cell r="M47">
            <v>2.7189162257613086E-3</v>
          </cell>
          <cell r="S47">
            <v>3.0933566912955835E-3</v>
          </cell>
        </row>
        <row r="48">
          <cell r="M48">
            <v>1.5277396881061833E-2</v>
          </cell>
          <cell r="S48">
            <v>6.1930257058402105E-3</v>
          </cell>
        </row>
        <row r="49">
          <cell r="M49">
            <v>4.7719407350022697E-2</v>
          </cell>
          <cell r="S49">
            <v>9.790941451605412E-3</v>
          </cell>
        </row>
        <row r="50">
          <cell r="M50">
            <v>0.10840300351200163</v>
          </cell>
          <cell r="S50">
            <v>1.3618490467680567E-2</v>
          </cell>
        </row>
        <row r="51">
          <cell r="M51">
            <v>0.20368169610326936</v>
          </cell>
          <cell r="S51">
            <v>1.7550199160511152E-2</v>
          </cell>
        </row>
        <row r="52">
          <cell r="M52">
            <v>0.33845254304896277</v>
          </cell>
          <cell r="S52">
            <v>2.1526550866243024E-2</v>
          </cell>
        </row>
        <row r="53">
          <cell r="M53">
            <v>0.51663104609176902</v>
          </cell>
          <cell r="S53">
            <v>2.5517750387854331E-2</v>
          </cell>
        </row>
        <row r="54">
          <cell r="M54">
            <v>0.74145718180140563</v>
          </cell>
          <cell r="S54">
            <v>2.950814452691209E-2</v>
          </cell>
        </row>
        <row r="55">
          <cell r="M55">
            <v>1.0156877188069373</v>
          </cell>
          <cell r="S55">
            <v>3.3489244404824495E-2</v>
          </cell>
        </row>
        <row r="56">
          <cell r="M56">
            <v>1.3417205085896828</v>
          </cell>
          <cell r="S56">
            <v>3.7456395702698021E-2</v>
          </cell>
        </row>
        <row r="57">
          <cell r="M57">
            <v>1.7216779186242397</v>
          </cell>
          <cell r="S57">
            <v>4.1407089651454093E-2</v>
          </cell>
        </row>
        <row r="58">
          <cell r="M58">
            <v>2.1574649370293923</v>
          </cell>
          <cell r="S58">
            <v>4.5340059562109826E-2</v>
          </cell>
        </row>
        <row r="59">
          <cell r="M59">
            <v>2.6508109898333121</v>
          </cell>
          <cell r="S59">
            <v>4.9254775484729681E-2</v>
          </cell>
        </row>
        <row r="60">
          <cell r="M60">
            <v>3.2033009105144958</v>
          </cell>
          <cell r="S60">
            <v>5.315115091277875E-2</v>
          </cell>
        </row>
        <row r="61">
          <cell r="M61">
            <v>3.816398451340834</v>
          </cell>
          <cell r="S61">
            <v>5.7029367337774695E-2</v>
          </cell>
        </row>
        <row r="62">
          <cell r="M62">
            <v>4.4914645200795853</v>
          </cell>
          <cell r="S62">
            <v>6.0889766728082322E-2</v>
          </cell>
        </row>
        <row r="63">
          <cell r="M63">
            <v>5.229771592207733</v>
          </cell>
          <cell r="S63">
            <v>6.4732784387802361E-2</v>
          </cell>
        </row>
        <row r="64">
          <cell r="M64">
            <v>6.0325152883836015</v>
          </cell>
          <cell r="S64">
            <v>6.8558906460848862E-2</v>
          </cell>
        </row>
        <row r="65">
          <cell r="M65">
            <v>6.9008238094757424</v>
          </cell>
          <cell r="S65">
            <v>7.2368642814494372E-2</v>
          </cell>
        </row>
        <row r="66">
          <cell r="M66">
            <v>7.8357657241111562</v>
          </cell>
          <cell r="S66">
            <v>7.6162509699904624E-2</v>
          </cell>
        </row>
        <row r="67">
          <cell r="M67">
            <v>8.8383564696407984</v>
          </cell>
          <cell r="S67">
            <v>7.994101872313937E-2</v>
          </cell>
        </row>
        <row r="68">
          <cell r="M68">
            <v>9.9095638343575736</v>
          </cell>
          <cell r="S68">
            <v>8.3704669938223272E-2</v>
          </cell>
        </row>
        <row r="69">
          <cell r="M69">
            <v>11.05031262292923</v>
          </cell>
          <cell r="S69">
            <v>8.7453947656499054E-2</v>
          </cell>
        </row>
        <row r="70">
          <cell r="M70">
            <v>12.261488659549498</v>
          </cell>
          <cell r="S70">
            <v>9.1189318055564655E-2</v>
          </cell>
        </row>
        <row r="71">
          <cell r="M71">
            <v>13.543942248563372</v>
          </cell>
          <cell r="S71">
            <v>9.491122798235567E-2</v>
          </cell>
        </row>
        <row r="72">
          <cell r="M72">
            <v>14.89849118650541</v>
          </cell>
          <cell r="S72">
            <v>9.8620104546239817E-2</v>
          </cell>
        </row>
        <row r="73">
          <cell r="M73">
            <v>16.325923400048506</v>
          </cell>
          <cell r="S73">
            <v>0.10231635523006023</v>
          </cell>
        </row>
        <row r="74">
          <cell r="M74">
            <v>17.826999269538444</v>
          </cell>
          <cell r="S74">
            <v>0.10600036833480571</v>
          </cell>
        </row>
        <row r="75">
          <cell r="M75">
            <v>19.402453686359969</v>
          </cell>
          <cell r="S75">
            <v>0.10967251363252366</v>
          </cell>
        </row>
        <row r="76">
          <cell r="M76">
            <v>21.03564497981786</v>
          </cell>
          <cell r="S76">
            <v>0.11329556720318064</v>
          </cell>
        </row>
        <row r="77">
          <cell r="M77">
            <v>22.722682460850027</v>
          </cell>
          <cell r="S77">
            <v>0.11686553323864503</v>
          </cell>
        </row>
        <row r="78">
          <cell r="M78">
            <v>24.462773861316528</v>
          </cell>
          <cell r="S78">
            <v>0.12038538675800776</v>
          </cell>
        </row>
        <row r="79">
          <cell r="M79">
            <v>26.255171363939503</v>
          </cell>
          <cell r="S79">
            <v>0.1238578245917242</v>
          </cell>
        </row>
        <row r="80">
          <cell r="M80">
            <v>28.099167442582974</v>
          </cell>
          <cell r="S80">
            <v>0.12728530091465257</v>
          </cell>
        </row>
        <row r="81">
          <cell r="M81">
            <v>29.99409123418145</v>
          </cell>
          <cell r="S81">
            <v>0.13067005712401239</v>
          </cell>
        </row>
        <row r="82">
          <cell r="M82">
            <v>31.939305357659592</v>
          </cell>
          <cell r="S82">
            <v>0.13401414712603216</v>
          </cell>
        </row>
        <row r="83">
          <cell r="M83">
            <v>33.934203111118102</v>
          </cell>
          <cell r="S83">
            <v>0.13731945886647179</v>
          </cell>
        </row>
        <row r="84">
          <cell r="M84">
            <v>35.978205991068478</v>
          </cell>
          <cell r="S84">
            <v>0.14058773276641184</v>
          </cell>
        </row>
        <row r="85">
          <cell r="M85">
            <v>38.070761487402891</v>
          </cell>
          <cell r="S85">
            <v>0.14382057759130099</v>
          </cell>
        </row>
        <row r="86">
          <cell r="M86">
            <v>40.211341115690743</v>
          </cell>
          <cell r="S86">
            <v>0.1470194841779473</v>
          </cell>
        </row>
        <row r="87">
          <cell r="M87">
            <v>42.399438654751208</v>
          </cell>
          <cell r="S87">
            <v>0.15018583736346008</v>
          </cell>
        </row>
        <row r="88">
          <cell r="M88">
            <v>44.634568562600514</v>
          </cell>
          <cell r="S88">
            <v>0.15332092639665132</v>
          </cell>
        </row>
        <row r="89">
          <cell r="M89">
            <v>46.916264548071418</v>
          </cell>
          <cell r="S89">
            <v>0.15642595406205739</v>
          </cell>
        </row>
        <row r="90">
          <cell r="M90">
            <v>49.244078278846942</v>
          </cell>
          <cell r="S90">
            <v>0.15950204470654167</v>
          </cell>
        </row>
        <row r="91">
          <cell r="M91">
            <v>51.617578209493225</v>
          </cell>
          <cell r="S91">
            <v>0.16255025132613188</v>
          </cell>
        </row>
        <row r="92">
          <cell r="M92">
            <v>54.036348515435535</v>
          </cell>
          <cell r="S92">
            <v>0.16557156184461921</v>
          </cell>
        </row>
        <row r="93">
          <cell r="M93">
            <v>56.499988120789482</v>
          </cell>
          <cell r="S93">
            <v>0.16856690469419325</v>
          </cell>
        </row>
        <row r="94">
          <cell r="M94">
            <v>59.008109809609365</v>
          </cell>
          <cell r="S94">
            <v>0.17153715379100637</v>
          </cell>
        </row>
        <row r="95">
          <cell r="M95">
            <v>61.560339411505367</v>
          </cell>
          <cell r="S95">
            <v>0.17448313298426479</v>
          </cell>
        </row>
        <row r="96">
          <cell r="M96">
            <v>64.156315053757112</v>
          </cell>
          <cell r="S96">
            <v>0.17740562004563337</v>
          </cell>
        </row>
        <row r="97">
          <cell r="M97">
            <v>66.795686473050168</v>
          </cell>
          <cell r="S97">
            <v>0.18030535025593181</v>
          </cell>
        </row>
        <row r="98">
          <cell r="M98">
            <v>69.47811438081429</v>
          </cell>
          <cell r="S98">
            <v>0.18318301963791994</v>
          </cell>
        </row>
        <row r="99">
          <cell r="M99">
            <v>72.203269876872255</v>
          </cell>
          <cell r="S99">
            <v>0.18603928787711532</v>
          </cell>
        </row>
        <row r="100">
          <cell r="M100">
            <v>74.970833906735166</v>
          </cell>
          <cell r="S100">
            <v>0.18887478096682353</v>
          </cell>
        </row>
        <row r="101">
          <cell r="M101">
            <v>77.780496758421492</v>
          </cell>
          <cell r="S101">
            <v>0.19169009360869027</v>
          </cell>
        </row>
        <row r="102">
          <cell r="M102">
            <v>80.631957595145138</v>
          </cell>
          <cell r="S102">
            <v>0.19448579139596109</v>
          </cell>
        </row>
        <row r="103">
          <cell r="M103">
            <v>83.52492402062451</v>
          </cell>
          <cell r="S103">
            <v>0.19726241280312082</v>
          </cell>
        </row>
        <row r="104">
          <cell r="M104">
            <v>86.459111674118304</v>
          </cell>
          <cell r="S104">
            <v>0.20002047100259029</v>
          </cell>
        </row>
        <row r="105">
          <cell r="M105">
            <v>89.434243852603288</v>
          </cell>
          <cell r="S105">
            <v>0.20276045552658875</v>
          </cell>
        </row>
        <row r="106">
          <cell r="M106">
            <v>92.450051157779754</v>
          </cell>
          <cell r="S106">
            <v>0.20548283379006785</v>
          </cell>
        </row>
        <row r="107">
          <cell r="M107">
            <v>95.506271165828252</v>
          </cell>
          <cell r="S107">
            <v>0.20818805248871894</v>
          </cell>
        </row>
        <row r="108">
          <cell r="M108">
            <v>98.602648118050709</v>
          </cell>
          <cell r="S108">
            <v>0.21087653888441646</v>
          </cell>
        </row>
        <row r="109">
          <cell r="M109">
            <v>101.73893263071359</v>
          </cell>
          <cell r="S109">
            <v>0.2135487019890307</v>
          </cell>
        </row>
        <row r="110">
          <cell r="M110">
            <v>104.9148814225744</v>
          </cell>
          <cell r="S110">
            <v>0.21620493365631294</v>
          </cell>
        </row>
        <row r="111">
          <cell r="M111">
            <v>108.1302570587178</v>
          </cell>
          <cell r="S111">
            <v>0.21884560959046986</v>
          </cell>
        </row>
        <row r="112">
          <cell r="M112">
            <v>111.38482770945649</v>
          </cell>
          <cell r="S112">
            <v>0.22147109027910747</v>
          </cell>
        </row>
        <row r="113">
          <cell r="M113">
            <v>114.67836692316666</v>
          </cell>
          <cell r="S113">
            <v>0.22408172185739633</v>
          </cell>
        </row>
        <row r="114">
          <cell r="M114">
            <v>118.01065341203039</v>
          </cell>
          <cell r="S114">
            <v>0.22667783690958831</v>
          </cell>
        </row>
        <row r="115">
          <cell r="M115">
            <v>121.38147084974898</v>
          </cell>
          <cell r="S115">
            <v>0.22925975521337419</v>
          </cell>
        </row>
        <row r="116">
          <cell r="M116">
            <v>124.79060768037303</v>
          </cell>
          <cell r="S116">
            <v>0.23182778443201477</v>
          </cell>
        </row>
        <row r="117">
          <cell r="M117">
            <v>128.23785693746927</v>
          </cell>
          <cell r="S117">
            <v>0.23438222075867654</v>
          </cell>
        </row>
        <row r="118">
          <cell r="M118">
            <v>131.72301607290976</v>
          </cell>
          <cell r="S118">
            <v>0.23692334951696695</v>
          </cell>
        </row>
        <row r="119">
          <cell r="M119">
            <v>135.24588679462929</v>
          </cell>
          <cell r="S119">
            <v>0.23945144572127355</v>
          </cell>
        </row>
        <row r="120">
          <cell r="M120">
            <v>138.80627491275047</v>
          </cell>
          <cell r="S120">
            <v>0.24196677460016441</v>
          </cell>
        </row>
        <row r="121">
          <cell r="M121">
            <v>142.40399019352463</v>
          </cell>
          <cell r="S121">
            <v>0.24446959208579844</v>
          </cell>
        </row>
        <row r="122">
          <cell r="M122">
            <v>146.03884622058081</v>
          </cell>
          <cell r="S122">
            <v>0.2469601452720207</v>
          </cell>
        </row>
        <row r="123">
          <cell r="M123">
            <v>149.71066026301503</v>
          </cell>
          <cell r="S123">
            <v>0.24943867284356927</v>
          </cell>
        </row>
        <row r="124">
          <cell r="M124">
            <v>153.41925314988839</v>
          </cell>
          <cell r="S124">
            <v>0.25190540547860302</v>
          </cell>
        </row>
        <row r="125">
          <cell r="M125">
            <v>157.16444915073538</v>
          </cell>
          <cell r="S125">
            <v>0.25436056622655878</v>
          </cell>
        </row>
        <row r="126">
          <cell r="M126">
            <v>160.94607586171395</v>
          </cell>
          <cell r="S126">
            <v>0.25680437086317381</v>
          </cell>
        </row>
        <row r="127">
          <cell r="M127">
            <v>164.76396409705643</v>
          </cell>
          <cell r="S127">
            <v>0.25923702822434358</v>
          </cell>
        </row>
        <row r="128">
          <cell r="M128">
            <v>168.61794778550478</v>
          </cell>
          <cell r="S128">
            <v>0.26165874052034965</v>
          </cell>
        </row>
        <row r="129">
          <cell r="M129">
            <v>172.50786387143751</v>
          </cell>
          <cell r="S129">
            <v>0.26406970363185395</v>
          </cell>
        </row>
        <row r="130">
          <cell r="M130">
            <v>176.43355222041546</v>
          </cell>
          <cell r="S130">
            <v>0.26647010738894633</v>
          </cell>
        </row>
        <row r="131">
          <cell r="M131">
            <v>180.39485552889366</v>
          </cell>
          <cell r="S131">
            <v>0.26886013583442109</v>
          </cell>
        </row>
        <row r="132">
          <cell r="M132">
            <v>184.39161923786367</v>
          </cell>
          <cell r="S132">
            <v>0.27123996747236606</v>
          </cell>
        </row>
        <row r="133">
          <cell r="M133">
            <v>188.42369145020683</v>
          </cell>
          <cell r="S133">
            <v>0.27360977550305715</v>
          </cell>
        </row>
        <row r="134">
          <cell r="M134">
            <v>192.49092285155439</v>
          </cell>
          <cell r="S134">
            <v>0.27596972804507752</v>
          </cell>
        </row>
        <row r="135">
          <cell r="M135">
            <v>196.59316663446307</v>
          </cell>
          <cell r="S135">
            <v>0.27831998834550187</v>
          </cell>
        </row>
        <row r="136">
          <cell r="M136">
            <v>200.73027842572856</v>
          </cell>
          <cell r="S136">
            <v>0.28066071497892664</v>
          </cell>
        </row>
        <row r="137">
          <cell r="M137">
            <v>204.90211621666967</v>
          </cell>
          <cell r="S137">
            <v>0.28299206203606647</v>
          </cell>
        </row>
        <row r="138">
          <cell r="M138">
            <v>209.108540296228</v>
          </cell>
          <cell r="S138">
            <v>0.28531417930257857</v>
          </cell>
        </row>
        <row r="139">
          <cell r="M139">
            <v>213.34941318673671</v>
          </cell>
          <cell r="S139">
            <v>0.28762721242873401</v>
          </cell>
        </row>
        <row r="140">
          <cell r="M140">
            <v>217.62459958222189</v>
          </cell>
          <cell r="S140">
            <v>0.28993130309050147</v>
          </cell>
        </row>
        <row r="141">
          <cell r="M141">
            <v>221.93396628910841</v>
          </cell>
          <cell r="S141">
            <v>0.29222658914257527</v>
          </cell>
        </row>
        <row r="142">
          <cell r="M142">
            <v>226.27738216920974</v>
          </cell>
          <cell r="S142">
            <v>0.29451320476383641</v>
          </cell>
        </row>
        <row r="143">
          <cell r="M143">
            <v>230.654718084889</v>
          </cell>
          <cell r="S143">
            <v>0.29679128059570009</v>
          </cell>
        </row>
        <row r="144">
          <cell r="M144">
            <v>235.06584684628481</v>
          </cell>
          <cell r="S144">
            <v>0.29906094387377524</v>
          </cell>
        </row>
        <row r="145">
          <cell r="M145" t="e">
            <v>#NUM!</v>
          </cell>
          <cell r="S145" t="e">
            <v>#NUM!</v>
          </cell>
        </row>
        <row r="146">
          <cell r="M146" t="e">
            <v>#NUM!</v>
          </cell>
          <cell r="S146" t="e">
            <v>#NUM!</v>
          </cell>
        </row>
      </sheetData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A6BE-B4BD-3B45-819F-F6201FB2589D}">
  <dimension ref="A1:Z1000"/>
  <sheetViews>
    <sheetView tabSelected="1" workbookViewId="0">
      <selection activeCell="C24" sqref="C24"/>
    </sheetView>
  </sheetViews>
  <sheetFormatPr baseColWidth="10" defaultColWidth="14.5" defaultRowHeight="15" customHeight="1" x14ac:dyDescent="0.15"/>
  <cols>
    <col min="1" max="1" width="19.5" customWidth="1"/>
    <col min="2" max="2" width="7.5" customWidth="1"/>
    <col min="3" max="3" width="11" customWidth="1"/>
    <col min="4" max="4" width="1.5" customWidth="1"/>
    <col min="5" max="5" width="12.83203125" customWidth="1"/>
    <col min="6" max="6" width="14.5" customWidth="1"/>
    <col min="7" max="7" width="12.5" customWidth="1"/>
    <col min="8" max="8" width="13.5" customWidth="1"/>
    <col min="9" max="26" width="11" customWidth="1"/>
  </cols>
  <sheetData>
    <row r="1" spans="1:8" ht="12.75" customHeight="1" x14ac:dyDescent="0.15">
      <c r="A1" s="1"/>
      <c r="E1" s="70" t="s">
        <v>0</v>
      </c>
      <c r="F1" s="71"/>
      <c r="G1" s="71"/>
      <c r="H1" s="72"/>
    </row>
    <row r="2" spans="1:8" ht="12.75" customHeight="1" x14ac:dyDescent="0.15">
      <c r="A2" s="2" t="s">
        <v>1</v>
      </c>
      <c r="C2" s="3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12.75" customHeight="1" x14ac:dyDescent="0.15">
      <c r="A3" s="1" t="s">
        <v>7</v>
      </c>
      <c r="B3" s="5" t="s">
        <v>8</v>
      </c>
      <c r="C3" s="6">
        <v>0.86370000000000002</v>
      </c>
      <c r="E3" s="7">
        <v>0.8</v>
      </c>
      <c r="F3" s="8">
        <v>0.86370000000000002</v>
      </c>
      <c r="G3" s="8">
        <v>0.72399999999999998</v>
      </c>
      <c r="H3" s="8" t="s">
        <v>9</v>
      </c>
    </row>
    <row r="4" spans="1:8" ht="12.75" customHeight="1" thickBot="1" x14ac:dyDescent="0.2">
      <c r="A4" s="1"/>
      <c r="B4" s="9" t="s">
        <v>10</v>
      </c>
      <c r="C4" s="10">
        <v>1.0020597899999999</v>
      </c>
      <c r="E4" s="7">
        <v>1</v>
      </c>
      <c r="F4" s="8">
        <v>1.0221</v>
      </c>
      <c r="G4" s="8">
        <v>1.0436000000000001</v>
      </c>
      <c r="H4" s="8">
        <v>1</v>
      </c>
    </row>
    <row r="5" spans="1:8" ht="12.75" customHeight="1" thickBot="1" x14ac:dyDescent="0.2">
      <c r="A5" s="11"/>
      <c r="B5" s="12"/>
      <c r="C5" s="13"/>
      <c r="D5" s="12"/>
      <c r="E5" s="14"/>
      <c r="F5" s="15"/>
      <c r="G5" s="15"/>
      <c r="H5" s="16"/>
    </row>
    <row r="6" spans="1:8" ht="12.75" customHeight="1" x14ac:dyDescent="0.15">
      <c r="A6" s="2" t="s">
        <v>11</v>
      </c>
      <c r="B6" s="17"/>
      <c r="C6" s="18"/>
      <c r="E6" s="7"/>
      <c r="F6" s="8"/>
      <c r="G6" s="8"/>
      <c r="H6" s="8"/>
    </row>
    <row r="7" spans="1:8" ht="12.75" customHeight="1" x14ac:dyDescent="0.15">
      <c r="A7" s="1" t="s">
        <v>12</v>
      </c>
      <c r="B7" s="19" t="s">
        <v>13</v>
      </c>
      <c r="C7" s="20">
        <v>0.1164</v>
      </c>
      <c r="E7" s="7">
        <v>0.04</v>
      </c>
      <c r="F7" s="8">
        <v>0.1164</v>
      </c>
      <c r="G7" s="8">
        <v>0.29020000000000001</v>
      </c>
      <c r="H7" s="8" t="s">
        <v>9</v>
      </c>
    </row>
    <row r="8" spans="1:8" ht="12.75" customHeight="1" thickBot="1" x14ac:dyDescent="0.2">
      <c r="A8" s="1"/>
      <c r="B8" s="21" t="s">
        <v>14</v>
      </c>
      <c r="C8" s="22">
        <v>0.88190000000000002</v>
      </c>
      <c r="E8" s="7">
        <v>1</v>
      </c>
      <c r="F8" s="8">
        <v>0.88190000000000002</v>
      </c>
      <c r="G8" s="8">
        <v>0.97150000000000003</v>
      </c>
      <c r="H8" s="8">
        <v>1</v>
      </c>
    </row>
    <row r="9" spans="1:8" ht="12.75" customHeight="1" thickBot="1" x14ac:dyDescent="0.2">
      <c r="A9" s="11"/>
      <c r="B9" s="12"/>
      <c r="C9" s="13"/>
      <c r="D9" s="12"/>
      <c r="E9" s="14"/>
      <c r="F9" s="15"/>
      <c r="G9" s="15"/>
      <c r="H9" s="16"/>
    </row>
    <row r="10" spans="1:8" ht="12.75" customHeight="1" x14ac:dyDescent="0.15">
      <c r="A10" s="2" t="s">
        <v>15</v>
      </c>
      <c r="B10" s="17"/>
      <c r="C10" s="18"/>
      <c r="E10" s="7"/>
      <c r="F10" s="8"/>
      <c r="G10" s="8"/>
      <c r="H10" s="8"/>
    </row>
    <row r="11" spans="1:8" ht="12.75" customHeight="1" x14ac:dyDescent="0.15">
      <c r="A11" s="1" t="s">
        <v>16</v>
      </c>
      <c r="B11" s="23" t="s">
        <v>17</v>
      </c>
      <c r="C11" s="24">
        <v>0.15</v>
      </c>
      <c r="E11" s="7">
        <v>0.25</v>
      </c>
      <c r="F11" s="8">
        <v>0.15</v>
      </c>
      <c r="G11" s="8">
        <v>0.55000000000000004</v>
      </c>
      <c r="H11" s="8" t="s">
        <v>9</v>
      </c>
    </row>
    <row r="12" spans="1:8" ht="12.75" customHeight="1" thickBot="1" x14ac:dyDescent="0.2">
      <c r="A12" s="1"/>
      <c r="B12" s="25" t="s">
        <v>18</v>
      </c>
      <c r="C12" s="26">
        <v>0.77190000000000003</v>
      </c>
      <c r="E12" s="7" t="s">
        <v>19</v>
      </c>
      <c r="F12" s="8">
        <v>0.77190000000000003</v>
      </c>
      <c r="G12" s="8">
        <v>0.70920000000000005</v>
      </c>
      <c r="H12" s="8">
        <v>0.75</v>
      </c>
    </row>
    <row r="13" spans="1:8" ht="12.75" customHeight="1" thickBot="1" x14ac:dyDescent="0.2">
      <c r="A13" s="11"/>
      <c r="B13" s="12"/>
      <c r="C13" s="13"/>
      <c r="D13" s="12"/>
      <c r="E13" s="14"/>
      <c r="F13" s="15"/>
      <c r="G13" s="15"/>
      <c r="H13" s="16"/>
    </row>
    <row r="14" spans="1:8" ht="12.75" customHeight="1" x14ac:dyDescent="0.15">
      <c r="A14" s="2" t="s">
        <v>20</v>
      </c>
      <c r="B14" s="17"/>
      <c r="C14" s="18"/>
      <c r="E14" s="7"/>
      <c r="F14" s="8"/>
      <c r="G14" s="8"/>
      <c r="H14" s="8"/>
    </row>
    <row r="15" spans="1:8" ht="12.75" customHeight="1" x14ac:dyDescent="0.15">
      <c r="A15" s="1" t="s">
        <v>21</v>
      </c>
      <c r="B15" s="27" t="s">
        <v>22</v>
      </c>
      <c r="C15" s="28">
        <v>2.5309600000000002E-2</v>
      </c>
      <c r="E15" s="7">
        <v>0.03</v>
      </c>
      <c r="F15" s="8">
        <v>2.6499999999999999E-2</v>
      </c>
      <c r="G15" s="8">
        <v>3.0300000000000001E-2</v>
      </c>
      <c r="H15" s="8" t="s">
        <v>9</v>
      </c>
    </row>
    <row r="16" spans="1:8" ht="12.75" customHeight="1" thickBot="1" x14ac:dyDescent="0.2">
      <c r="A16" s="1"/>
      <c r="B16" s="29" t="s">
        <v>23</v>
      </c>
      <c r="C16" s="30">
        <v>0.42206199999999999</v>
      </c>
      <c r="E16" s="7">
        <v>0.375</v>
      </c>
      <c r="F16" s="8">
        <v>0.38250000000000001</v>
      </c>
      <c r="G16" s="8">
        <v>0.40300000000000002</v>
      </c>
      <c r="H16" s="8">
        <v>0.375</v>
      </c>
    </row>
    <row r="17" spans="1:26" ht="12.75" customHeight="1" thickBot="1" x14ac:dyDescent="0.2">
      <c r="A17" s="11"/>
      <c r="B17" s="12"/>
      <c r="C17" s="13"/>
      <c r="D17" s="12"/>
      <c r="E17" s="14"/>
      <c r="F17" s="15"/>
      <c r="G17" s="15"/>
      <c r="H17" s="16"/>
    </row>
    <row r="18" spans="1:26" ht="12.75" customHeight="1" x14ac:dyDescent="0.15">
      <c r="A18" s="2" t="s">
        <v>24</v>
      </c>
      <c r="B18" s="17"/>
      <c r="C18" s="18"/>
      <c r="E18" s="7"/>
      <c r="F18" s="8"/>
      <c r="G18" s="8"/>
      <c r="H18" s="8"/>
    </row>
    <row r="19" spans="1:26" ht="12.75" customHeight="1" x14ac:dyDescent="0.15">
      <c r="A19" s="1" t="s">
        <v>25</v>
      </c>
      <c r="B19" s="31" t="s">
        <v>26</v>
      </c>
      <c r="C19" s="32">
        <v>160</v>
      </c>
      <c r="D19" s="33"/>
      <c r="E19" s="7">
        <v>100</v>
      </c>
      <c r="F19" s="8">
        <v>160.81198000000001</v>
      </c>
      <c r="G19" s="8">
        <v>80.258869500000003</v>
      </c>
      <c r="H19" s="8" t="s">
        <v>9</v>
      </c>
    </row>
    <row r="20" spans="1:26" ht="12.75" customHeight="1" x14ac:dyDescent="0.15">
      <c r="A20" s="34"/>
      <c r="B20" s="35" t="s">
        <v>27</v>
      </c>
      <c r="C20" s="36">
        <v>1</v>
      </c>
      <c r="E20" s="7">
        <v>1</v>
      </c>
      <c r="F20" s="8">
        <v>1.0964662000000001</v>
      </c>
      <c r="G20" s="8">
        <v>0.92930453000000002</v>
      </c>
      <c r="H20" s="8">
        <v>0.66669999999999996</v>
      </c>
    </row>
    <row r="21" spans="1:26" ht="12.75" customHeight="1" thickBot="1" x14ac:dyDescent="0.2">
      <c r="A21" s="1"/>
      <c r="B21" s="37" t="s">
        <v>28</v>
      </c>
      <c r="C21" s="38">
        <v>0</v>
      </c>
      <c r="E21" s="7">
        <v>0</v>
      </c>
      <c r="F21" s="8">
        <v>0</v>
      </c>
      <c r="G21" s="8">
        <v>0</v>
      </c>
      <c r="H21" s="8" t="s">
        <v>9</v>
      </c>
    </row>
    <row r="22" spans="1:26" ht="12.75" customHeight="1" thickBot="1" x14ac:dyDescent="0.2">
      <c r="A22" s="11"/>
      <c r="B22" s="12"/>
      <c r="C22" s="13"/>
      <c r="D22" s="12"/>
      <c r="E22" s="14"/>
      <c r="F22" s="15"/>
      <c r="G22" s="15"/>
      <c r="H22" s="16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2.75" customHeight="1" x14ac:dyDescent="0.15">
      <c r="A23" s="2" t="s">
        <v>29</v>
      </c>
      <c r="B23" s="17"/>
      <c r="C23" s="18"/>
      <c r="E23" s="7"/>
      <c r="F23" s="8"/>
      <c r="G23" s="8"/>
      <c r="H23" s="8"/>
    </row>
    <row r="24" spans="1:26" ht="12.75" customHeight="1" x14ac:dyDescent="0.15">
      <c r="A24" s="1" t="s">
        <v>30</v>
      </c>
      <c r="B24" s="40" t="s">
        <v>31</v>
      </c>
      <c r="C24" s="41">
        <f>'[1]All species'!AB27</f>
        <v>24.5</v>
      </c>
      <c r="E24" s="7" t="s">
        <v>32</v>
      </c>
      <c r="F24" s="8">
        <v>31.464272999999999</v>
      </c>
      <c r="G24" s="8">
        <v>30.112784999999999</v>
      </c>
      <c r="H24" s="8" t="s">
        <v>9</v>
      </c>
    </row>
    <row r="25" spans="1:26" ht="12.75" customHeight="1" thickBot="1" x14ac:dyDescent="0.2">
      <c r="A25" s="1"/>
      <c r="B25" s="42" t="s">
        <v>33</v>
      </c>
      <c r="C25" s="43">
        <v>5.5</v>
      </c>
      <c r="E25" s="7">
        <v>15</v>
      </c>
      <c r="F25" s="8">
        <v>8.5</v>
      </c>
      <c r="G25" s="8">
        <v>8.9</v>
      </c>
      <c r="H25" s="8" t="s">
        <v>9</v>
      </c>
    </row>
    <row r="26" spans="1:26" ht="12.75" customHeight="1" thickBot="1" x14ac:dyDescent="0.2">
      <c r="A26" s="11"/>
      <c r="B26" s="12"/>
      <c r="C26" s="13"/>
      <c r="D26" s="12"/>
      <c r="E26" s="14"/>
      <c r="F26" s="15"/>
      <c r="G26" s="15"/>
      <c r="H26" s="16"/>
    </row>
    <row r="27" spans="1:26" ht="12.75" customHeight="1" x14ac:dyDescent="0.15">
      <c r="A27" s="2" t="s">
        <v>34</v>
      </c>
      <c r="B27" s="17"/>
      <c r="C27" s="18"/>
      <c r="E27" s="7"/>
      <c r="F27" s="8"/>
      <c r="G27" s="8"/>
      <c r="H27" s="8"/>
    </row>
    <row r="28" spans="1:26" ht="12.75" customHeight="1" x14ac:dyDescent="0.15">
      <c r="A28" s="1" t="s">
        <v>35</v>
      </c>
      <c r="B28" s="44" t="s">
        <v>36</v>
      </c>
      <c r="C28" s="45">
        <v>1.5</v>
      </c>
      <c r="D28" s="33"/>
      <c r="E28" s="7">
        <v>1.5</v>
      </c>
      <c r="F28" s="8">
        <v>1.5056</v>
      </c>
      <c r="G28" s="8">
        <v>0.58408000000000004</v>
      </c>
      <c r="H28" s="8" t="s">
        <v>9</v>
      </c>
    </row>
    <row r="29" spans="1:26" ht="12.75" customHeight="1" thickBot="1" x14ac:dyDescent="0.2">
      <c r="A29" s="1"/>
      <c r="B29" s="46" t="s">
        <v>37</v>
      </c>
      <c r="C29" s="47">
        <v>-0.44834000000000002</v>
      </c>
      <c r="D29" s="33"/>
      <c r="E29" s="7">
        <v>-0.45</v>
      </c>
      <c r="F29" s="8">
        <v>-0.44834000000000002</v>
      </c>
      <c r="G29" s="8">
        <v>-0.45767000000000002</v>
      </c>
      <c r="H29" s="8" t="s">
        <v>9</v>
      </c>
    </row>
    <row r="30" spans="1:26" ht="12.75" customHeight="1" thickBot="1" x14ac:dyDescent="0.2">
      <c r="A30" s="11"/>
      <c r="B30" s="12"/>
      <c r="C30" s="12"/>
      <c r="D30" s="12"/>
      <c r="E30" s="14"/>
      <c r="F30" s="15"/>
      <c r="G30" s="15"/>
      <c r="H30" s="16"/>
    </row>
    <row r="31" spans="1:26" ht="12.75" customHeight="1" x14ac:dyDescent="0.15">
      <c r="A31" s="1" t="s">
        <v>38</v>
      </c>
      <c r="B31" s="17"/>
      <c r="C31" s="17">
        <v>2.6999999999999999E-5</v>
      </c>
      <c r="E31" s="7">
        <v>3.0000000000000001E-5</v>
      </c>
      <c r="F31" s="8">
        <v>2.6999999999999999E-5</v>
      </c>
      <c r="G31" s="8">
        <v>2.6999999999999999E-5</v>
      </c>
      <c r="H31" s="8" t="s">
        <v>9</v>
      </c>
    </row>
    <row r="32" spans="1:26" ht="12.75" customHeight="1" x14ac:dyDescent="0.15">
      <c r="A32" s="1" t="s">
        <v>39</v>
      </c>
      <c r="B32" s="17"/>
      <c r="C32" s="17">
        <v>923.43</v>
      </c>
      <c r="E32" s="7" t="s">
        <v>40</v>
      </c>
      <c r="F32" s="8">
        <v>500</v>
      </c>
      <c r="G32" s="8">
        <v>923.43</v>
      </c>
      <c r="H32" s="8" t="s">
        <v>9</v>
      </c>
    </row>
    <row r="33" spans="1:23" ht="12.75" customHeight="1" x14ac:dyDescent="0.15">
      <c r="A33" s="48" t="s">
        <v>41</v>
      </c>
      <c r="B33" s="49"/>
      <c r="C33" s="50">
        <f>'[1]All species'!AB5</f>
        <v>610</v>
      </c>
      <c r="E33" s="7" t="s">
        <v>32</v>
      </c>
      <c r="F33" s="8">
        <v>995.76</v>
      </c>
      <c r="G33" s="8">
        <v>764.3</v>
      </c>
      <c r="H33" s="8"/>
    </row>
    <row r="34" spans="1:23" ht="12.75" customHeight="1" x14ac:dyDescent="0.15">
      <c r="A34" s="51" t="s">
        <v>42</v>
      </c>
      <c r="B34" s="52"/>
      <c r="C34" s="53">
        <f>'[1]All species'!AB6</f>
        <v>11.31</v>
      </c>
      <c r="E34" s="7" t="s">
        <v>32</v>
      </c>
      <c r="F34" s="8">
        <v>9.6543478</v>
      </c>
      <c r="G34" s="8">
        <v>7.3263157999999997</v>
      </c>
      <c r="H34" s="8" t="s">
        <v>9</v>
      </c>
    </row>
    <row r="35" spans="1:23" ht="12.75" customHeight="1" x14ac:dyDescent="0.15">
      <c r="A35" s="1" t="s">
        <v>43</v>
      </c>
      <c r="B35" s="17"/>
      <c r="C35" s="17">
        <v>2.9599999999999998E-4</v>
      </c>
      <c r="E35" s="7"/>
      <c r="F35" s="8">
        <v>2.9599999999999998E-4</v>
      </c>
      <c r="G35" s="8">
        <v>2.9599999999999998E-4</v>
      </c>
      <c r="H35" s="8" t="s">
        <v>9</v>
      </c>
    </row>
    <row r="36" spans="1:23" ht="12.75" customHeight="1" x14ac:dyDescent="0.15">
      <c r="A36" s="1"/>
      <c r="B36" s="17"/>
      <c r="C36" s="17"/>
      <c r="E36" s="7"/>
      <c r="F36" s="8"/>
      <c r="G36" s="54"/>
      <c r="H36" s="8"/>
    </row>
    <row r="37" spans="1:23" ht="12.75" customHeight="1" thickBot="1" x14ac:dyDescent="0.2">
      <c r="A37" s="1" t="s">
        <v>44</v>
      </c>
      <c r="B37" s="55"/>
      <c r="C37" s="55">
        <v>0.99</v>
      </c>
      <c r="E37" s="56"/>
      <c r="F37" s="57"/>
      <c r="G37" s="58"/>
      <c r="H37" s="57"/>
    </row>
    <row r="38" spans="1:23" ht="12.75" customHeight="1" thickBot="1" x14ac:dyDescent="0.2">
      <c r="A38" s="59"/>
      <c r="B38" s="12"/>
      <c r="C38" s="13"/>
      <c r="D38" s="12"/>
      <c r="E38" s="14"/>
      <c r="F38" s="15"/>
      <c r="G38" s="15"/>
      <c r="H38" s="16"/>
    </row>
    <row r="39" spans="1:23" ht="12.75" customHeight="1" x14ac:dyDescent="0.2">
      <c r="A39" s="60" t="s">
        <v>45</v>
      </c>
      <c r="C39" s="61">
        <f>'[1]All species'!AB33</f>
        <v>3.08</v>
      </c>
    </row>
    <row r="40" spans="1:23" ht="12.75" customHeight="1" x14ac:dyDescent="0.2">
      <c r="A40" s="60" t="s">
        <v>46</v>
      </c>
      <c r="C40" s="61">
        <f>'[1]All species'!AB34</f>
        <v>1.84</v>
      </c>
      <c r="J40" s="62" t="s">
        <v>47</v>
      </c>
      <c r="K40" s="63">
        <f t="array" ref="K40">INDEX(J:J,MATCH("True",P:P,0))</f>
        <v>5</v>
      </c>
      <c r="L40" s="61">
        <f>'[1]All species'!AB30</f>
        <v>5</v>
      </c>
    </row>
    <row r="41" spans="1:23" ht="12.75" customHeight="1" x14ac:dyDescent="0.15">
      <c r="A41" s="1"/>
      <c r="J41" s="64" t="s">
        <v>48</v>
      </c>
      <c r="K41" s="64" t="e">
        <f>IF(MATCH("True",W:W,0)&gt;0,"TREE COLLAPSES UNDER IT'S OWN WEIGHT!","")</f>
        <v>#N/A</v>
      </c>
    </row>
    <row r="42" spans="1:23" ht="12.75" customHeight="1" x14ac:dyDescent="0.15">
      <c r="A42" s="1"/>
    </row>
    <row r="43" spans="1:23" ht="12.75" customHeight="1" x14ac:dyDescent="0.15">
      <c r="A43" s="1"/>
    </row>
    <row r="44" spans="1:23" ht="12.75" customHeight="1" x14ac:dyDescent="0.15">
      <c r="A44" s="1"/>
      <c r="J44" s="65" t="s">
        <v>49</v>
      </c>
      <c r="K44" s="65" t="s">
        <v>50</v>
      </c>
      <c r="L44" s="65" t="s">
        <v>51</v>
      </c>
      <c r="M44" s="65" t="s">
        <v>52</v>
      </c>
      <c r="N44" s="66" t="s">
        <v>53</v>
      </c>
      <c r="O44" s="66" t="s">
        <v>54</v>
      </c>
      <c r="P44" s="66" t="s">
        <v>55</v>
      </c>
      <c r="Q44" s="66" t="s">
        <v>56</v>
      </c>
      <c r="R44" s="65" t="s">
        <v>57</v>
      </c>
      <c r="S44" s="66" t="s">
        <v>58</v>
      </c>
      <c r="T44" s="66" t="s">
        <v>59</v>
      </c>
      <c r="U44" s="66" t="s">
        <v>60</v>
      </c>
      <c r="V44" s="67" t="s">
        <v>61</v>
      </c>
      <c r="W44" s="2" t="s">
        <v>62</v>
      </c>
    </row>
    <row r="45" spans="1:23" ht="12.75" customHeight="1" x14ac:dyDescent="0.15">
      <c r="A45" s="1"/>
      <c r="J45" s="68">
        <v>0</v>
      </c>
      <c r="K45" s="33">
        <v>2.6999999999999999E-5</v>
      </c>
      <c r="L45" s="33">
        <f>K45</f>
        <v>2.6999999999999999E-5</v>
      </c>
      <c r="M45" s="33">
        <f>L45*C37</f>
        <v>2.673E-5</v>
      </c>
      <c r="N45" s="33">
        <f t="shared" ref="N45:N144" si="0">($C$19*(S45^$C$20))-$C$21</f>
        <v>4.7568044559497411E-2</v>
      </c>
      <c r="O45" s="33">
        <f t="shared" ref="O45:O144" si="1">$C$24+($C$25*(LN(S45)))</f>
        <v>-20.16422340163858</v>
      </c>
      <c r="P45" s="33" t="str">
        <f t="shared" ref="P45:P108" si="2">IF(P44="True", "True", IF(O45&gt;N45,"True","False"))</f>
        <v>False</v>
      </c>
      <c r="Q45" s="33">
        <f t="shared" ref="Q45:Q146" si="3">IF(P45="True", O45, N45)</f>
        <v>4.7568044559497411E-2</v>
      </c>
      <c r="R45" s="33">
        <f>L45-M45</f>
        <v>2.6999999999999911E-7</v>
      </c>
      <c r="S45" s="33">
        <f t="shared" ref="S45:S144" si="4">$C$15*(M45^$C$16)</f>
        <v>2.9730027849685884E-4</v>
      </c>
      <c r="T45" s="33">
        <f t="shared" ref="T45:T144" si="5">(((R45/$C$34)/$C$37)^0.5)*0.7071067812</f>
        <v>1.098039553435643E-4</v>
      </c>
      <c r="U45" s="33">
        <f t="shared" ref="U45:U144" si="6">(((R45/$C$32)/$C$35)/2)</f>
        <v>4.9389892150036243E-7</v>
      </c>
      <c r="V45" s="68">
        <f t="shared" ref="V45:V144" si="7">0.79*((($C$34*1000000000)/(9.81*$C$33))^0.33)*(S45^0.6667)</f>
        <v>0.41451423566948559</v>
      </c>
      <c r="W45" s="33" t="str">
        <f t="shared" ref="W45:W146" si="8">IF(Q45&gt;V45,"True","False")</f>
        <v>False</v>
      </c>
    </row>
    <row r="46" spans="1:23" ht="12.75" customHeight="1" x14ac:dyDescent="0.15">
      <c r="A46" s="1"/>
      <c r="J46" s="68">
        <f t="shared" ref="J46:J109" si="9">J45+1</f>
        <v>1</v>
      </c>
      <c r="K46" s="33">
        <f t="shared" ref="K46:K144" si="10">$C$28*(R45^$C$29)*U45</f>
        <v>6.5269713571626932E-4</v>
      </c>
      <c r="L46" s="33">
        <f t="shared" ref="L46:L146" si="11">M45+R45+K46</f>
        <v>6.7969713571626933E-4</v>
      </c>
      <c r="M46" s="33">
        <f t="shared" ref="M46:M109" si="12">M45+($C$3*(K46^$C$4))</f>
        <v>5.8201200747640266E-4</v>
      </c>
      <c r="N46" s="33">
        <f t="shared" si="0"/>
        <v>0.17458461542634712</v>
      </c>
      <c r="O46" s="33">
        <f t="shared" si="1"/>
        <v>-13.012857623691033</v>
      </c>
      <c r="P46" s="33" t="str">
        <f t="shared" si="2"/>
        <v>False</v>
      </c>
      <c r="Q46" s="33">
        <f t="shared" si="3"/>
        <v>0.17458461542634712</v>
      </c>
      <c r="R46" s="33">
        <f t="shared" ref="R46:R144" si="13">IF(P46="False",$C$7*(M46^$C$8),$C$11*(M46^$C$12))</f>
        <v>1.6328506456858384E-4</v>
      </c>
      <c r="S46" s="33">
        <f t="shared" si="4"/>
        <v>1.0911538464146696E-3</v>
      </c>
      <c r="T46" s="33">
        <f t="shared" si="5"/>
        <v>2.7002833189713432E-3</v>
      </c>
      <c r="U46" s="33">
        <f t="shared" si="6"/>
        <v>2.9869006402792912E-4</v>
      </c>
      <c r="V46" s="68">
        <f t="shared" si="7"/>
        <v>0.98632200197662867</v>
      </c>
      <c r="W46" s="33" t="str">
        <f t="shared" si="8"/>
        <v>False</v>
      </c>
    </row>
    <row r="47" spans="1:23" ht="12.75" customHeight="1" x14ac:dyDescent="0.15">
      <c r="A47" s="1"/>
      <c r="J47" s="68">
        <f t="shared" si="9"/>
        <v>2</v>
      </c>
      <c r="K47" s="33">
        <f t="shared" si="10"/>
        <v>2.2345990927868931E-2</v>
      </c>
      <c r="L47" s="33">
        <f t="shared" si="11"/>
        <v>2.3091287999913918E-2</v>
      </c>
      <c r="M47" s="33">
        <f t="shared" si="12"/>
        <v>1.9731723511988104E-2</v>
      </c>
      <c r="N47" s="33">
        <f t="shared" si="0"/>
        <v>0.77243012561467206</v>
      </c>
      <c r="O47" s="33">
        <f t="shared" si="1"/>
        <v>-4.8336314799762228</v>
      </c>
      <c r="P47" s="33" t="str">
        <f t="shared" si="2"/>
        <v>False</v>
      </c>
      <c r="Q47" s="33">
        <f t="shared" si="3"/>
        <v>0.77243012561467206</v>
      </c>
      <c r="R47" s="33">
        <f t="shared" si="13"/>
        <v>3.6513966488101227E-3</v>
      </c>
      <c r="S47" s="33">
        <f t="shared" si="4"/>
        <v>4.8276882850917004E-3</v>
      </c>
      <c r="T47" s="33">
        <f t="shared" si="5"/>
        <v>1.2769256437391976E-2</v>
      </c>
      <c r="U47" s="33">
        <f t="shared" si="6"/>
        <v>6.6793365437680108E-3</v>
      </c>
      <c r="V47" s="68">
        <f t="shared" si="7"/>
        <v>2.6583310953835815</v>
      </c>
      <c r="W47" s="33" t="str">
        <f t="shared" si="8"/>
        <v>False</v>
      </c>
    </row>
    <row r="48" spans="1:23" ht="12.75" customHeight="1" x14ac:dyDescent="0.15">
      <c r="A48" s="1"/>
      <c r="J48" s="68">
        <f t="shared" si="9"/>
        <v>3</v>
      </c>
      <c r="K48" s="33">
        <f t="shared" si="10"/>
        <v>0.12407140824670859</v>
      </c>
      <c r="L48" s="33">
        <f t="shared" si="11"/>
        <v>0.14745452840750681</v>
      </c>
      <c r="M48" s="33">
        <f t="shared" si="12"/>
        <v>0.12643255045763044</v>
      </c>
      <c r="N48" s="33">
        <f t="shared" si="0"/>
        <v>1.6917416231842373</v>
      </c>
      <c r="O48" s="33">
        <f t="shared" si="1"/>
        <v>-0.52178398876333176</v>
      </c>
      <c r="P48" s="33" t="str">
        <f t="shared" si="2"/>
        <v>False</v>
      </c>
      <c r="Q48" s="33">
        <f t="shared" si="3"/>
        <v>1.6917416231842373</v>
      </c>
      <c r="R48" s="33">
        <f t="shared" si="13"/>
        <v>1.8788077509689638E-2</v>
      </c>
      <c r="S48" s="33">
        <f t="shared" si="4"/>
        <v>1.0573385144901483E-2</v>
      </c>
      <c r="T48" s="33">
        <f t="shared" si="5"/>
        <v>2.8965249516213418E-2</v>
      </c>
      <c r="U48" s="33">
        <f t="shared" si="6"/>
        <v>3.4368189700373912E-2</v>
      </c>
      <c r="V48" s="68">
        <f t="shared" si="7"/>
        <v>4.4833602958351673</v>
      </c>
      <c r="W48" s="33" t="str">
        <f t="shared" si="8"/>
        <v>False</v>
      </c>
    </row>
    <row r="49" spans="1:23" ht="12.75" customHeight="1" x14ac:dyDescent="0.15">
      <c r="A49" s="1"/>
      <c r="J49" s="68">
        <f t="shared" si="9"/>
        <v>4</v>
      </c>
      <c r="K49" s="33">
        <f t="shared" si="10"/>
        <v>0.30629189596019141</v>
      </c>
      <c r="L49" s="33">
        <f t="shared" si="11"/>
        <v>0.45151252392751151</v>
      </c>
      <c r="M49" s="33">
        <f t="shared" si="12"/>
        <v>0.39033290446858304</v>
      </c>
      <c r="N49" s="33">
        <f t="shared" si="0"/>
        <v>2.7224854788560906</v>
      </c>
      <c r="O49" s="33">
        <f t="shared" si="1"/>
        <v>2.0950428475288376</v>
      </c>
      <c r="P49" s="33" t="str">
        <f t="shared" si="2"/>
        <v>False</v>
      </c>
      <c r="Q49" s="33">
        <f t="shared" si="3"/>
        <v>2.7224854788560906</v>
      </c>
      <c r="R49" s="33">
        <f t="shared" si="13"/>
        <v>5.0773797983148294E-2</v>
      </c>
      <c r="S49" s="33">
        <f t="shared" si="4"/>
        <v>1.7015534242850565E-2</v>
      </c>
      <c r="T49" s="33">
        <f t="shared" si="5"/>
        <v>4.7616330921668337E-2</v>
      </c>
      <c r="U49" s="33">
        <f t="shared" si="6"/>
        <v>9.2878237275386299E-2</v>
      </c>
      <c r="V49" s="68">
        <f t="shared" si="7"/>
        <v>6.1569395176347994</v>
      </c>
      <c r="W49" s="33" t="str">
        <f t="shared" si="8"/>
        <v>False</v>
      </c>
    </row>
    <row r="50" spans="1:23" ht="12.75" customHeight="1" x14ac:dyDescent="0.15">
      <c r="A50" s="1"/>
      <c r="J50" s="68">
        <f t="shared" si="9"/>
        <v>5</v>
      </c>
      <c r="K50" s="33">
        <f t="shared" si="10"/>
        <v>0.53005232330802143</v>
      </c>
      <c r="L50" s="33">
        <f t="shared" si="11"/>
        <v>0.97115902575975277</v>
      </c>
      <c r="M50" s="33">
        <f t="shared" si="12"/>
        <v>0.84754089991574266</v>
      </c>
      <c r="N50" s="33">
        <f t="shared" si="0"/>
        <v>3.7764575808022465</v>
      </c>
      <c r="O50" s="33">
        <f t="shared" si="1"/>
        <v>3.8948693388524767</v>
      </c>
      <c r="P50" s="33" t="str">
        <f t="shared" si="2"/>
        <v>True</v>
      </c>
      <c r="Q50" s="33">
        <f t="shared" si="3"/>
        <v>3.8948693388524767</v>
      </c>
      <c r="R50" s="33">
        <f t="shared" si="13"/>
        <v>0.13201961944096244</v>
      </c>
      <c r="S50" s="33">
        <f t="shared" si="4"/>
        <v>2.3602859880014041E-2</v>
      </c>
      <c r="T50" s="33">
        <f t="shared" si="5"/>
        <v>7.6781278732049055E-2</v>
      </c>
      <c r="U50" s="33">
        <f t="shared" si="6"/>
        <v>0.2414975839214068</v>
      </c>
      <c r="V50" s="68">
        <f t="shared" si="7"/>
        <v>7.6580050875349617</v>
      </c>
      <c r="W50" s="33" t="str">
        <f t="shared" si="8"/>
        <v>False</v>
      </c>
    </row>
    <row r="51" spans="1:23" ht="12.75" customHeight="1" x14ac:dyDescent="0.15">
      <c r="A51" s="1"/>
      <c r="J51" s="68">
        <f t="shared" si="9"/>
        <v>6</v>
      </c>
      <c r="K51" s="33">
        <f t="shared" si="10"/>
        <v>0.89796000703462087</v>
      </c>
      <c r="L51" s="33">
        <f t="shared" si="11"/>
        <v>1.8775205263913259</v>
      </c>
      <c r="M51" s="33">
        <f t="shared" si="12"/>
        <v>1.6229370377389278</v>
      </c>
      <c r="N51" s="33">
        <f t="shared" si="0"/>
        <v>4.9678172168645682</v>
      </c>
      <c r="O51" s="33">
        <f t="shared" si="1"/>
        <v>5.402937051432005</v>
      </c>
      <c r="P51" s="33" t="str">
        <f t="shared" si="2"/>
        <v>True</v>
      </c>
      <c r="Q51" s="33">
        <f t="shared" si="3"/>
        <v>5.402937051432005</v>
      </c>
      <c r="R51" s="33">
        <f t="shared" si="13"/>
        <v>0.21798324798603788</v>
      </c>
      <c r="S51" s="33">
        <f t="shared" si="4"/>
        <v>3.1048857605403549E-2</v>
      </c>
      <c r="T51" s="33">
        <f t="shared" si="5"/>
        <v>9.8661488213967113E-2</v>
      </c>
      <c r="U51" s="33">
        <f t="shared" si="6"/>
        <v>0.39874700402018703</v>
      </c>
      <c r="V51" s="68">
        <f t="shared" si="7"/>
        <v>9.1940519112261754</v>
      </c>
      <c r="W51" s="33" t="str">
        <f t="shared" si="8"/>
        <v>False</v>
      </c>
    </row>
    <row r="52" spans="1:23" ht="12.75" customHeight="1" x14ac:dyDescent="0.15">
      <c r="A52" s="1"/>
      <c r="J52" s="33">
        <f t="shared" si="9"/>
        <v>7</v>
      </c>
      <c r="K52" s="33">
        <f t="shared" si="10"/>
        <v>1.184131872077786</v>
      </c>
      <c r="L52" s="33">
        <f t="shared" si="11"/>
        <v>3.0250521578027518</v>
      </c>
      <c r="M52" s="33">
        <f t="shared" si="12"/>
        <v>2.6460278370675416</v>
      </c>
      <c r="N52" s="33">
        <f t="shared" si="0"/>
        <v>6.106133645667283</v>
      </c>
      <c r="O52" s="33">
        <f t="shared" si="1"/>
        <v>6.5376598153998131</v>
      </c>
      <c r="P52" s="33" t="str">
        <f t="shared" si="2"/>
        <v>True</v>
      </c>
      <c r="Q52" s="33">
        <f t="shared" si="3"/>
        <v>6.5376598153998131</v>
      </c>
      <c r="R52" s="33">
        <f t="shared" si="13"/>
        <v>0.31790099206183881</v>
      </c>
      <c r="S52" s="33">
        <f t="shared" si="4"/>
        <v>3.816333528542052E-2</v>
      </c>
      <c r="T52" s="33">
        <f t="shared" si="5"/>
        <v>0.11914670707793498</v>
      </c>
      <c r="U52" s="33">
        <f t="shared" si="6"/>
        <v>0.58152206341939983</v>
      </c>
      <c r="V52" s="68">
        <f t="shared" si="7"/>
        <v>10.549788094498945</v>
      </c>
      <c r="W52" s="33" t="str">
        <f t="shared" si="8"/>
        <v>False</v>
      </c>
    </row>
    <row r="53" spans="1:23" ht="12.75" customHeight="1" x14ac:dyDescent="0.15">
      <c r="A53" s="1"/>
      <c r="J53" s="33">
        <f t="shared" si="9"/>
        <v>8</v>
      </c>
      <c r="K53" s="33">
        <f t="shared" si="10"/>
        <v>1.4581423140540446</v>
      </c>
      <c r="L53" s="33">
        <f t="shared" si="11"/>
        <v>4.422071143183425</v>
      </c>
      <c r="M53" s="33">
        <f t="shared" si="12"/>
        <v>3.9064041309090065</v>
      </c>
      <c r="N53" s="33">
        <f t="shared" si="0"/>
        <v>7.1973383626892948</v>
      </c>
      <c r="O53" s="33">
        <f t="shared" si="1"/>
        <v>7.4419560882669558</v>
      </c>
      <c r="P53" s="33" t="str">
        <f t="shared" si="2"/>
        <v>True</v>
      </c>
      <c r="Q53" s="33">
        <f t="shared" si="3"/>
        <v>7.4419560882669558</v>
      </c>
      <c r="R53" s="33">
        <f t="shared" si="13"/>
        <v>0.42942176930998666</v>
      </c>
      <c r="S53" s="33">
        <f t="shared" si="4"/>
        <v>4.4983364766808094E-2</v>
      </c>
      <c r="T53" s="33">
        <f t="shared" si="5"/>
        <v>0.13847715451808465</v>
      </c>
      <c r="U53" s="33">
        <f t="shared" si="6"/>
        <v>0.78552203233696494</v>
      </c>
      <c r="V53" s="68">
        <f t="shared" si="7"/>
        <v>11.771989329176034</v>
      </c>
      <c r="W53" s="33" t="str">
        <f t="shared" si="8"/>
        <v>False</v>
      </c>
    </row>
    <row r="54" spans="1:23" ht="12.75" customHeight="1" x14ac:dyDescent="0.15">
      <c r="A54" s="1"/>
      <c r="J54" s="33">
        <f t="shared" si="9"/>
        <v>9</v>
      </c>
      <c r="K54" s="33">
        <f t="shared" si="10"/>
        <v>1.721243810596105</v>
      </c>
      <c r="L54" s="33">
        <f t="shared" si="11"/>
        <v>6.0570697108150986</v>
      </c>
      <c r="M54" s="33">
        <f t="shared" si="12"/>
        <v>5.3947062392794303</v>
      </c>
      <c r="N54" s="33">
        <f t="shared" si="0"/>
        <v>8.2478557747694463</v>
      </c>
      <c r="O54" s="33">
        <f t="shared" si="1"/>
        <v>8.1912869488352342</v>
      </c>
      <c r="P54" s="33" t="str">
        <f t="shared" si="2"/>
        <v>True</v>
      </c>
      <c r="Q54" s="33">
        <f t="shared" si="3"/>
        <v>8.1912869488352342</v>
      </c>
      <c r="R54" s="33">
        <f t="shared" si="13"/>
        <v>0.5509309928737669</v>
      </c>
      <c r="S54" s="33">
        <f t="shared" si="4"/>
        <v>5.1549098592309044E-2</v>
      </c>
      <c r="T54" s="33">
        <f t="shared" si="5"/>
        <v>0.15685006559692427</v>
      </c>
      <c r="U54" s="33">
        <f t="shared" si="6"/>
        <v>1.007793419264734</v>
      </c>
      <c r="V54" s="68">
        <f t="shared" si="7"/>
        <v>12.891335878738081</v>
      </c>
      <c r="W54" s="33" t="str">
        <f t="shared" si="8"/>
        <v>False</v>
      </c>
    </row>
    <row r="55" spans="1:23" ht="12.75" customHeight="1" x14ac:dyDescent="0.15">
      <c r="A55" s="2"/>
      <c r="B55" s="69"/>
      <c r="C55" s="69"/>
      <c r="D55" s="69"/>
      <c r="E55" s="69"/>
      <c r="F55" s="69"/>
      <c r="G55" s="69"/>
      <c r="H55" s="69"/>
      <c r="I55" s="69"/>
      <c r="J55" s="69">
        <f t="shared" si="9"/>
        <v>10</v>
      </c>
      <c r="K55" s="33">
        <f t="shared" si="10"/>
        <v>1.9748733831827245</v>
      </c>
      <c r="L55" s="33">
        <f t="shared" si="11"/>
        <v>7.9205106153359219</v>
      </c>
      <c r="M55" s="33">
        <f t="shared" si="12"/>
        <v>7.1027969268864402</v>
      </c>
      <c r="N55" s="33">
        <f t="shared" si="0"/>
        <v>9.2632046468494114</v>
      </c>
      <c r="O55" s="33">
        <f t="shared" si="1"/>
        <v>8.8298193625051518</v>
      </c>
      <c r="P55" s="33" t="str">
        <f t="shared" si="2"/>
        <v>True</v>
      </c>
      <c r="Q55" s="33">
        <f t="shared" si="3"/>
        <v>8.8298193625051518</v>
      </c>
      <c r="R55" s="33">
        <f t="shared" si="13"/>
        <v>0.68125485679260422</v>
      </c>
      <c r="S55" s="33">
        <f t="shared" si="4"/>
        <v>5.789502904280882E-2</v>
      </c>
      <c r="T55" s="33">
        <f t="shared" si="5"/>
        <v>0.17441784172081909</v>
      </c>
      <c r="U55" s="33">
        <f t="shared" si="6"/>
        <v>1.2461890334694523</v>
      </c>
      <c r="V55" s="68">
        <f t="shared" si="7"/>
        <v>13.928779769239357</v>
      </c>
      <c r="W55" s="33" t="str">
        <f t="shared" si="8"/>
        <v>False</v>
      </c>
    </row>
    <row r="56" spans="1:23" ht="12.75" customHeight="1" x14ac:dyDescent="0.15">
      <c r="A56" s="1"/>
      <c r="J56" s="33">
        <f t="shared" si="9"/>
        <v>11</v>
      </c>
      <c r="K56" s="33">
        <f t="shared" si="10"/>
        <v>2.2202871885159294</v>
      </c>
      <c r="L56" s="33">
        <f t="shared" si="11"/>
        <v>10.004338972194974</v>
      </c>
      <c r="M56" s="33">
        <f t="shared" si="12"/>
        <v>9.0236122105334466</v>
      </c>
      <c r="N56" s="33">
        <f t="shared" si="0"/>
        <v>10.247903716097806</v>
      </c>
      <c r="O56" s="33">
        <f t="shared" si="1"/>
        <v>9.3854464466248455</v>
      </c>
      <c r="P56" s="33" t="str">
        <f t="shared" si="2"/>
        <v>True</v>
      </c>
      <c r="Q56" s="33">
        <f t="shared" si="3"/>
        <v>9.3854464466248455</v>
      </c>
      <c r="R56" s="33">
        <f t="shared" si="13"/>
        <v>0.8195008488610851</v>
      </c>
      <c r="S56" s="33">
        <f t="shared" si="4"/>
        <v>6.4049398225611287E-2</v>
      </c>
      <c r="T56" s="33">
        <f t="shared" si="5"/>
        <v>0.19129816594918589</v>
      </c>
      <c r="U56" s="33">
        <f t="shared" si="6"/>
        <v>1.4990762423004547</v>
      </c>
      <c r="V56" s="68">
        <f t="shared" si="7"/>
        <v>14.899226390965529</v>
      </c>
      <c r="W56" s="33" t="str">
        <f t="shared" si="8"/>
        <v>False</v>
      </c>
    </row>
    <row r="57" spans="1:23" ht="12.75" customHeight="1" x14ac:dyDescent="0.15">
      <c r="A57" s="1"/>
      <c r="J57" s="33">
        <f t="shared" si="9"/>
        <v>12</v>
      </c>
      <c r="K57" s="33">
        <f t="shared" si="10"/>
        <v>2.4585227930260709</v>
      </c>
      <c r="L57" s="33">
        <f t="shared" si="11"/>
        <v>12.301635852420603</v>
      </c>
      <c r="M57" s="33">
        <f t="shared" si="12"/>
        <v>11.150976503482052</v>
      </c>
      <c r="N57" s="33">
        <f t="shared" si="0"/>
        <v>11.205629053201386</v>
      </c>
      <c r="O57" s="33">
        <f t="shared" si="1"/>
        <v>9.8768333696473931</v>
      </c>
      <c r="P57" s="33" t="str">
        <f t="shared" si="2"/>
        <v>True</v>
      </c>
      <c r="Q57" s="33">
        <f t="shared" si="3"/>
        <v>9.8768333696473931</v>
      </c>
      <c r="R57" s="33">
        <f t="shared" si="13"/>
        <v>0.96496616797977441</v>
      </c>
      <c r="S57" s="33">
        <f t="shared" si="4"/>
        <v>7.0035181582508668E-2</v>
      </c>
      <c r="T57" s="33">
        <f t="shared" si="5"/>
        <v>0.20758317296213422</v>
      </c>
      <c r="U57" s="33">
        <f t="shared" si="6"/>
        <v>1.7651694431464802</v>
      </c>
      <c r="V57" s="68">
        <f t="shared" si="7"/>
        <v>15.813663122111333</v>
      </c>
      <c r="W57" s="33" t="str">
        <f t="shared" si="8"/>
        <v>False</v>
      </c>
    </row>
    <row r="58" spans="1:23" ht="12.75" customHeight="1" x14ac:dyDescent="0.15">
      <c r="A58" s="1"/>
      <c r="J58" s="33">
        <f t="shared" si="9"/>
        <v>13</v>
      </c>
      <c r="K58" s="33">
        <f t="shared" si="10"/>
        <v>2.6904288458595333</v>
      </c>
      <c r="L58" s="33">
        <f t="shared" si="11"/>
        <v>14.806371517321359</v>
      </c>
      <c r="M58" s="33">
        <f t="shared" si="12"/>
        <v>13.479441814746778</v>
      </c>
      <c r="N58" s="33">
        <f t="shared" si="0"/>
        <v>12.139389580973397</v>
      </c>
      <c r="O58" s="33">
        <f t="shared" si="1"/>
        <v>10.317049281251089</v>
      </c>
      <c r="P58" s="33" t="str">
        <f t="shared" si="2"/>
        <v>True</v>
      </c>
      <c r="Q58" s="33">
        <f t="shared" si="3"/>
        <v>10.317049281251089</v>
      </c>
      <c r="R58" s="33">
        <f t="shared" si="13"/>
        <v>1.1170818745691824</v>
      </c>
      <c r="S58" s="33">
        <f t="shared" si="4"/>
        <v>7.5871184881083728E-2</v>
      </c>
      <c r="T58" s="33">
        <f t="shared" si="5"/>
        <v>0.22334621911875222</v>
      </c>
      <c r="U58" s="33">
        <f t="shared" si="6"/>
        <v>2.0434279002863858</v>
      </c>
      <c r="V58" s="68">
        <f t="shared" si="7"/>
        <v>16.680435293524177</v>
      </c>
      <c r="W58" s="33" t="str">
        <f t="shared" si="8"/>
        <v>False</v>
      </c>
    </row>
    <row r="59" spans="1:23" ht="12.75" customHeight="1" x14ac:dyDescent="0.15">
      <c r="A59" s="1"/>
      <c r="J59" s="33">
        <f t="shared" si="9"/>
        <v>14</v>
      </c>
      <c r="K59" s="33">
        <f t="shared" si="10"/>
        <v>2.9167025857084616</v>
      </c>
      <c r="L59" s="33">
        <f t="shared" si="11"/>
        <v>17.513226275024422</v>
      </c>
      <c r="M59" s="33">
        <f t="shared" si="12"/>
        <v>16.004158478134975</v>
      </c>
      <c r="N59" s="33">
        <f t="shared" si="0"/>
        <v>13.051673063643868</v>
      </c>
      <c r="O59" s="33">
        <f t="shared" si="1"/>
        <v>10.715583829354395</v>
      </c>
      <c r="P59" s="33" t="str">
        <f t="shared" si="2"/>
        <v>True</v>
      </c>
      <c r="Q59" s="33">
        <f t="shared" si="3"/>
        <v>10.715583829354395</v>
      </c>
      <c r="R59" s="33">
        <f t="shared" si="13"/>
        <v>1.2753770295193465</v>
      </c>
      <c r="S59" s="33">
        <f t="shared" si="4"/>
        <v>8.157295664777417E-2</v>
      </c>
      <c r="T59" s="33">
        <f t="shared" si="5"/>
        <v>0.23864668047174425</v>
      </c>
      <c r="U59" s="33">
        <f t="shared" si="6"/>
        <v>2.3329901458738638</v>
      </c>
      <c r="V59" s="68">
        <f t="shared" si="7"/>
        <v>17.506042842953935</v>
      </c>
      <c r="W59" s="33" t="str">
        <f t="shared" si="8"/>
        <v>False</v>
      </c>
    </row>
    <row r="60" spans="1:23" ht="12.75" customHeight="1" x14ac:dyDescent="0.15">
      <c r="A60" s="2"/>
      <c r="B60" s="69"/>
      <c r="C60" s="69"/>
      <c r="D60" s="69"/>
      <c r="E60" s="69"/>
      <c r="F60" s="69"/>
      <c r="G60" s="69"/>
      <c r="H60" s="69"/>
      <c r="I60" s="69"/>
      <c r="J60" s="69">
        <f t="shared" si="9"/>
        <v>15</v>
      </c>
      <c r="K60" s="33">
        <f t="shared" si="10"/>
        <v>3.1379220986835255</v>
      </c>
      <c r="L60" s="33">
        <f t="shared" si="11"/>
        <v>20.417457606337848</v>
      </c>
      <c r="M60" s="33">
        <f t="shared" si="12"/>
        <v>18.720773237222591</v>
      </c>
      <c r="N60" s="33">
        <f t="shared" si="0"/>
        <v>13.944559012707614</v>
      </c>
      <c r="O60" s="33">
        <f t="shared" si="1"/>
        <v>11.079535701103321</v>
      </c>
      <c r="P60" s="33" t="str">
        <f t="shared" si="2"/>
        <v>True</v>
      </c>
      <c r="Q60" s="33">
        <f t="shared" si="3"/>
        <v>11.079535701103321</v>
      </c>
      <c r="R60" s="33">
        <f t="shared" si="13"/>
        <v>1.4394546498893648</v>
      </c>
      <c r="S60" s="33">
        <f t="shared" si="4"/>
        <v>8.7153493829422585E-2</v>
      </c>
      <c r="T60" s="33">
        <f t="shared" si="5"/>
        <v>0.25353335057591814</v>
      </c>
      <c r="U60" s="33">
        <f t="shared" si="6"/>
        <v>2.6331299967742274</v>
      </c>
      <c r="V60" s="68">
        <f t="shared" si="7"/>
        <v>18.295657027847945</v>
      </c>
      <c r="W60" s="33" t="str">
        <f t="shared" si="8"/>
        <v>False</v>
      </c>
    </row>
    <row r="61" spans="1:23" ht="12.75" customHeight="1" x14ac:dyDescent="0.15">
      <c r="A61" s="1"/>
      <c r="J61" s="33">
        <f t="shared" si="9"/>
        <v>16</v>
      </c>
      <c r="K61" s="33">
        <f t="shared" si="10"/>
        <v>3.3545716641294026</v>
      </c>
      <c r="L61" s="33">
        <f t="shared" si="11"/>
        <v>23.514799551241357</v>
      </c>
      <c r="M61" s="33">
        <f t="shared" si="12"/>
        <v>21.625348911140865</v>
      </c>
      <c r="N61" s="33">
        <f t="shared" si="0"/>
        <v>14.819804340731269</v>
      </c>
      <c r="O61" s="33">
        <f t="shared" si="1"/>
        <v>11.414348311919353</v>
      </c>
      <c r="P61" s="33" t="str">
        <f t="shared" si="2"/>
        <v>True</v>
      </c>
      <c r="Q61" s="33">
        <f t="shared" si="3"/>
        <v>11.414348311919353</v>
      </c>
      <c r="R61" s="33">
        <f t="shared" si="13"/>
        <v>1.6089749916459755</v>
      </c>
      <c r="S61" s="33">
        <f t="shared" si="4"/>
        <v>9.2623777129570428E-2</v>
      </c>
      <c r="T61" s="33">
        <f t="shared" si="5"/>
        <v>0.26804687558950147</v>
      </c>
      <c r="U61" s="33">
        <f t="shared" si="6"/>
        <v>2.9432259744259426</v>
      </c>
      <c r="V61" s="68">
        <f t="shared" si="7"/>
        <v>19.053467132769892</v>
      </c>
      <c r="W61" s="33" t="str">
        <f t="shared" si="8"/>
        <v>False</v>
      </c>
    </row>
    <row r="62" spans="1:23" ht="12.75" customHeight="1" x14ac:dyDescent="0.15">
      <c r="A62" s="1"/>
      <c r="J62" s="33">
        <f t="shared" si="9"/>
        <v>17</v>
      </c>
      <c r="K62" s="33">
        <f t="shared" si="10"/>
        <v>3.5670611638742247</v>
      </c>
      <c r="L62" s="33">
        <f t="shared" si="11"/>
        <v>26.801385066661066</v>
      </c>
      <c r="M62" s="33">
        <f t="shared" si="12"/>
        <v>24.714300625224059</v>
      </c>
      <c r="N62" s="33">
        <f t="shared" si="0"/>
        <v>15.678908302351468</v>
      </c>
      <c r="O62" s="33">
        <f t="shared" si="1"/>
        <v>11.724284155295427</v>
      </c>
      <c r="P62" s="33" t="str">
        <f t="shared" si="2"/>
        <v>True</v>
      </c>
      <c r="Q62" s="33">
        <f t="shared" si="3"/>
        <v>11.724284155295427</v>
      </c>
      <c r="R62" s="33">
        <f t="shared" si="13"/>
        <v>1.7836435645917408</v>
      </c>
      <c r="S62" s="33">
        <f t="shared" si="4"/>
        <v>9.7993176889696679E-2</v>
      </c>
      <c r="T62" s="33">
        <f t="shared" si="5"/>
        <v>0.28222152744540563</v>
      </c>
      <c r="U62" s="33">
        <f t="shared" si="6"/>
        <v>3.2627393810849097</v>
      </c>
      <c r="V62" s="68">
        <f t="shared" si="7"/>
        <v>19.78292013818804</v>
      </c>
      <c r="W62" s="33" t="str">
        <f t="shared" si="8"/>
        <v>False</v>
      </c>
    </row>
    <row r="63" spans="1:23" ht="12.75" customHeight="1" x14ac:dyDescent="0.15">
      <c r="A63" s="1"/>
      <c r="J63" s="33">
        <f t="shared" si="9"/>
        <v>18</v>
      </c>
      <c r="K63" s="33">
        <f t="shared" si="10"/>
        <v>3.7757408906470302</v>
      </c>
      <c r="L63" s="33">
        <f t="shared" si="11"/>
        <v>30.27368508046283</v>
      </c>
      <c r="M63" s="33">
        <f t="shared" si="12"/>
        <v>27.984344699581793</v>
      </c>
      <c r="N63" s="33">
        <f t="shared" si="0"/>
        <v>16.523162067559106</v>
      </c>
      <c r="O63" s="33">
        <f t="shared" si="1"/>
        <v>12.012741386448482</v>
      </c>
      <c r="P63" s="33" t="str">
        <f t="shared" si="2"/>
        <v>True</v>
      </c>
      <c r="Q63" s="33">
        <f t="shared" si="3"/>
        <v>12.012741386448482</v>
      </c>
      <c r="R63" s="33">
        <f t="shared" si="13"/>
        <v>1.9632023121807576</v>
      </c>
      <c r="S63" s="33">
        <f t="shared" si="4"/>
        <v>0.10326976292224441</v>
      </c>
      <c r="T63" s="33">
        <f t="shared" si="5"/>
        <v>0.29608651675506953</v>
      </c>
      <c r="U63" s="33">
        <f t="shared" si="6"/>
        <v>3.5911981654559151</v>
      </c>
      <c r="V63" s="68">
        <f t="shared" si="7"/>
        <v>20.486890775746961</v>
      </c>
      <c r="W63" s="33" t="str">
        <f t="shared" si="8"/>
        <v>False</v>
      </c>
    </row>
    <row r="64" spans="1:23" ht="12.75" customHeight="1" x14ac:dyDescent="0.15">
      <c r="A64" s="1"/>
      <c r="J64" s="33">
        <f t="shared" si="9"/>
        <v>19</v>
      </c>
      <c r="K64" s="33">
        <f t="shared" si="10"/>
        <v>3.9809129037395081</v>
      </c>
      <c r="L64" s="33">
        <f t="shared" si="11"/>
        <v>33.92845991550206</v>
      </c>
      <c r="M64" s="33">
        <f t="shared" si="12"/>
        <v>31.432457255104008</v>
      </c>
      <c r="N64" s="33">
        <f t="shared" si="0"/>
        <v>17.35368693515526</v>
      </c>
      <c r="O64" s="33">
        <f t="shared" si="1"/>
        <v>12.282471446277967</v>
      </c>
      <c r="P64" s="33" t="str">
        <f t="shared" si="2"/>
        <v>True</v>
      </c>
      <c r="Q64" s="33">
        <f t="shared" si="3"/>
        <v>12.282471446277967</v>
      </c>
      <c r="R64" s="33">
        <f t="shared" si="13"/>
        <v>2.1474229726564853</v>
      </c>
      <c r="S64" s="33">
        <f t="shared" si="4"/>
        <v>0.10846054334472037</v>
      </c>
      <c r="T64" s="33">
        <f t="shared" si="5"/>
        <v>0.30966698078194121</v>
      </c>
      <c r="U64" s="33">
        <f t="shared" si="6"/>
        <v>3.9281847785190509</v>
      </c>
      <c r="V64" s="68">
        <f t="shared" si="7"/>
        <v>21.167804986491433</v>
      </c>
      <c r="W64" s="33" t="str">
        <f t="shared" si="8"/>
        <v>False</v>
      </c>
    </row>
    <row r="65" spans="1:26" ht="12.75" customHeight="1" x14ac:dyDescent="0.15">
      <c r="A65" s="2"/>
      <c r="B65" s="69"/>
      <c r="C65" s="69"/>
      <c r="D65" s="69"/>
      <c r="E65" s="69"/>
      <c r="F65" s="69"/>
      <c r="G65" s="69"/>
      <c r="H65" s="69"/>
      <c r="I65" s="69"/>
      <c r="J65" s="69">
        <f t="shared" si="9"/>
        <v>20</v>
      </c>
      <c r="K65" s="33">
        <f t="shared" si="10"/>
        <v>4.1828398129646303</v>
      </c>
      <c r="L65" s="33">
        <f t="shared" si="11"/>
        <v>37.762720040725121</v>
      </c>
      <c r="M65" s="33">
        <f t="shared" si="12"/>
        <v>35.05584034259023</v>
      </c>
      <c r="N65" s="33">
        <f t="shared" si="0"/>
        <v>18.171464108305045</v>
      </c>
      <c r="O65" s="33">
        <f t="shared" si="1"/>
        <v>12.53573253243378</v>
      </c>
      <c r="P65" s="33" t="str">
        <f t="shared" si="2"/>
        <v>True</v>
      </c>
      <c r="Q65" s="33">
        <f t="shared" si="3"/>
        <v>12.53573253243378</v>
      </c>
      <c r="R65" s="33">
        <f t="shared" si="13"/>
        <v>2.3361019833875716</v>
      </c>
      <c r="S65" s="33">
        <f t="shared" si="4"/>
        <v>0.11357165067690654</v>
      </c>
      <c r="T65" s="33">
        <f t="shared" si="5"/>
        <v>0.32298473828880286</v>
      </c>
      <c r="U65" s="33">
        <f t="shared" si="6"/>
        <v>4.2733268522591956</v>
      </c>
      <c r="V65" s="68">
        <f t="shared" si="7"/>
        <v>21.827731380587366</v>
      </c>
      <c r="W65" s="33" t="str">
        <f t="shared" si="8"/>
        <v>False</v>
      </c>
    </row>
    <row r="66" spans="1:26" ht="12.75" customHeight="1" x14ac:dyDescent="0.15">
      <c r="A66" s="1"/>
      <c r="J66" s="33">
        <f t="shared" si="9"/>
        <v>21</v>
      </c>
      <c r="K66" s="33">
        <f t="shared" si="10"/>
        <v>4.3817516419616638</v>
      </c>
      <c r="L66" s="33">
        <f t="shared" si="11"/>
        <v>41.773693967939465</v>
      </c>
      <c r="M66" s="33">
        <f t="shared" si="12"/>
        <v>38.85189395399005</v>
      </c>
      <c r="N66" s="33">
        <f t="shared" si="0"/>
        <v>18.977358148675989</v>
      </c>
      <c r="O66" s="33">
        <f t="shared" si="1"/>
        <v>12.774400273149286</v>
      </c>
      <c r="P66" s="33" t="str">
        <f t="shared" si="2"/>
        <v>True</v>
      </c>
      <c r="Q66" s="33">
        <f t="shared" si="3"/>
        <v>12.774400273149286</v>
      </c>
      <c r="R66" s="33">
        <f t="shared" si="13"/>
        <v>2.5290565021687592</v>
      </c>
      <c r="S66" s="33">
        <f t="shared" si="4"/>
        <v>0.11860848842922493</v>
      </c>
      <c r="T66" s="33">
        <f t="shared" si="5"/>
        <v>0.33605887443785004</v>
      </c>
      <c r="U66" s="33">
        <f t="shared" si="6"/>
        <v>4.6262899216097519</v>
      </c>
      <c r="V66" s="68">
        <f t="shared" si="7"/>
        <v>22.468450217867122</v>
      </c>
      <c r="W66" s="33" t="str">
        <f t="shared" si="8"/>
        <v>False</v>
      </c>
    </row>
    <row r="67" spans="1:26" ht="12.75" customHeight="1" x14ac:dyDescent="0.15">
      <c r="A67" s="1"/>
      <c r="J67" s="33">
        <f t="shared" si="9"/>
        <v>22</v>
      </c>
      <c r="K67" s="33">
        <f t="shared" si="10"/>
        <v>4.5778512466482582</v>
      </c>
      <c r="L67" s="33">
        <f t="shared" si="11"/>
        <v>45.958801702807065</v>
      </c>
      <c r="M67" s="33">
        <f t="shared" si="12"/>
        <v>42.818192680010426</v>
      </c>
      <c r="N67" s="33">
        <f t="shared" si="0"/>
        <v>19.772135646743195</v>
      </c>
      <c r="O67" s="33">
        <f t="shared" si="1"/>
        <v>13.000049124041141</v>
      </c>
      <c r="P67" s="33" t="str">
        <f t="shared" si="2"/>
        <v>True</v>
      </c>
      <c r="Q67" s="33">
        <f t="shared" si="3"/>
        <v>13.000049124041141</v>
      </c>
      <c r="R67" s="33">
        <f t="shared" si="13"/>
        <v>2.7261212534002683</v>
      </c>
      <c r="S67" s="33">
        <f t="shared" si="4"/>
        <v>0.12357584779214498</v>
      </c>
      <c r="T67" s="33">
        <f t="shared" si="5"/>
        <v>0.34890619990430527</v>
      </c>
      <c r="U67" s="33">
        <f t="shared" si="6"/>
        <v>4.9867716553096777</v>
      </c>
      <c r="V67" s="68">
        <f t="shared" si="7"/>
        <v>23.091506272615472</v>
      </c>
      <c r="W67" s="33" t="str">
        <f t="shared" si="8"/>
        <v>False</v>
      </c>
    </row>
    <row r="68" spans="1:26" ht="12.75" customHeight="1" x14ac:dyDescent="0.15">
      <c r="A68" s="2"/>
      <c r="B68" s="69"/>
      <c r="C68" s="69"/>
      <c r="D68" s="69"/>
      <c r="E68" s="69"/>
      <c r="J68" s="33">
        <f t="shared" si="9"/>
        <v>23</v>
      </c>
      <c r="K68" s="33">
        <f t="shared" si="10"/>
        <v>4.7713186366828975</v>
      </c>
      <c r="L68" s="33">
        <f t="shared" si="11"/>
        <v>50.315632570093591</v>
      </c>
      <c r="M68" s="33">
        <f t="shared" si="12"/>
        <v>46.952466075112888</v>
      </c>
      <c r="N68" s="33">
        <f t="shared" si="0"/>
        <v>20.556480233443093</v>
      </c>
      <c r="O68" s="33">
        <f t="shared" si="1"/>
        <v>13.214013287043977</v>
      </c>
      <c r="P68" s="33" t="str">
        <f t="shared" si="2"/>
        <v>True</v>
      </c>
      <c r="Q68" s="33">
        <f t="shared" si="3"/>
        <v>13.214013287043977</v>
      </c>
      <c r="R68" s="33">
        <f t="shared" si="13"/>
        <v>2.9271459943956963</v>
      </c>
      <c r="S68" s="33">
        <f t="shared" si="4"/>
        <v>0.12847800145901933</v>
      </c>
      <c r="T68" s="33">
        <f t="shared" si="5"/>
        <v>0.36154161555400088</v>
      </c>
      <c r="U68" s="33">
        <f t="shared" si="6"/>
        <v>5.3544972211338697</v>
      </c>
      <c r="V68" s="68">
        <f t="shared" si="7"/>
        <v>23.698249932382364</v>
      </c>
      <c r="W68" s="33" t="str">
        <f t="shared" si="8"/>
        <v>False</v>
      </c>
    </row>
    <row r="69" spans="1:26" ht="12.75" customHeight="1" x14ac:dyDescent="0.15">
      <c r="A69" s="1"/>
      <c r="J69" s="33">
        <f t="shared" si="9"/>
        <v>24</v>
      </c>
      <c r="K69" s="33">
        <f t="shared" si="10"/>
        <v>4.9623144557237957</v>
      </c>
      <c r="L69" s="33">
        <f t="shared" si="11"/>
        <v>54.841926525232381</v>
      </c>
      <c r="M69" s="33">
        <f t="shared" si="12"/>
        <v>51.252582009398708</v>
      </c>
      <c r="N69" s="33">
        <f t="shared" si="0"/>
        <v>21.331004764225696</v>
      </c>
      <c r="O69" s="33">
        <f t="shared" si="1"/>
        <v>13.417433020028351</v>
      </c>
      <c r="P69" s="33" t="str">
        <f t="shared" si="2"/>
        <v>True</v>
      </c>
      <c r="Q69" s="33">
        <f t="shared" si="3"/>
        <v>13.417433020028351</v>
      </c>
      <c r="R69" s="33">
        <f t="shared" si="13"/>
        <v>3.1319934553626019</v>
      </c>
      <c r="S69" s="33">
        <f t="shared" si="4"/>
        <v>0.1333187797764106</v>
      </c>
      <c r="T69" s="33">
        <f t="shared" si="5"/>
        <v>0.37397840527663867</v>
      </c>
      <c r="U69" s="33">
        <f t="shared" si="6"/>
        <v>5.7292155175918058</v>
      </c>
      <c r="V69" s="68">
        <f t="shared" si="7"/>
        <v>24.289869564587907</v>
      </c>
      <c r="W69" s="33" t="str">
        <f t="shared" si="8"/>
        <v>False</v>
      </c>
    </row>
    <row r="70" spans="1:26" ht="12.75" customHeight="1" x14ac:dyDescent="0.15">
      <c r="A70" s="2"/>
      <c r="B70" s="69"/>
      <c r="C70" s="69"/>
      <c r="D70" s="69"/>
      <c r="E70" s="69"/>
      <c r="F70" s="69"/>
      <c r="G70" s="69"/>
      <c r="H70" s="69"/>
      <c r="I70" s="69"/>
      <c r="J70" s="69">
        <f t="shared" si="9"/>
        <v>25</v>
      </c>
      <c r="K70" s="33">
        <f t="shared" si="10"/>
        <v>5.1509828101193298</v>
      </c>
      <c r="L70" s="33">
        <f t="shared" si="11"/>
        <v>59.535558274880643</v>
      </c>
      <c r="M70" s="33">
        <f t="shared" si="12"/>
        <v>55.716532449004191</v>
      </c>
      <c r="N70" s="33">
        <f t="shared" si="0"/>
        <v>22.096261295509066</v>
      </c>
      <c r="O70" s="33">
        <f t="shared" si="1"/>
        <v>13.611290337563609</v>
      </c>
      <c r="P70" s="33" t="str">
        <f t="shared" si="2"/>
        <v>True</v>
      </c>
      <c r="Q70" s="33">
        <f t="shared" si="3"/>
        <v>13.611290337563609</v>
      </c>
      <c r="R70" s="33">
        <f t="shared" si="13"/>
        <v>3.3405376463853944</v>
      </c>
      <c r="S70" s="33">
        <f t="shared" si="4"/>
        <v>0.13810163309693166</v>
      </c>
      <c r="T70" s="33">
        <f t="shared" si="5"/>
        <v>0.3862284734871525</v>
      </c>
      <c r="U70" s="33">
        <f t="shared" si="6"/>
        <v>6.1106960769670771</v>
      </c>
      <c r="V70" s="68">
        <f t="shared" si="7"/>
        <v>24.867417305671644</v>
      </c>
      <c r="W70" s="33" t="str">
        <f t="shared" si="8"/>
        <v>False</v>
      </c>
    </row>
    <row r="71" spans="1:26" ht="12.75" customHeight="1" x14ac:dyDescent="0.15">
      <c r="A71" s="1"/>
      <c r="F71" s="69"/>
      <c r="G71" s="69"/>
      <c r="H71" s="69"/>
      <c r="I71" s="69"/>
      <c r="J71" s="33">
        <f t="shared" si="9"/>
        <v>26</v>
      </c>
      <c r="K71" s="33">
        <f t="shared" si="10"/>
        <v>5.3374535879399154</v>
      </c>
      <c r="L71" s="33">
        <f t="shared" si="11"/>
        <v>64.394523683329496</v>
      </c>
      <c r="M71" s="33">
        <f t="shared" si="12"/>
        <v>60.342421228041815</v>
      </c>
      <c r="N71" s="33">
        <f t="shared" si="0"/>
        <v>22.852749320837571</v>
      </c>
      <c r="O71" s="33">
        <f t="shared" si="1"/>
        <v>13.796436883903787</v>
      </c>
      <c r="P71" s="33" t="str">
        <f t="shared" si="2"/>
        <v>True</v>
      </c>
      <c r="Q71" s="33">
        <f t="shared" si="3"/>
        <v>13.796436883903787</v>
      </c>
      <c r="R71" s="33">
        <f t="shared" si="13"/>
        <v>3.5526624524423669</v>
      </c>
      <c r="S71" s="33">
        <f t="shared" si="4"/>
        <v>0.14282968325523482</v>
      </c>
      <c r="T71" s="33">
        <f t="shared" si="5"/>
        <v>0.39830253952588884</v>
      </c>
      <c r="U71" s="33">
        <f t="shared" si="6"/>
        <v>6.4987264952449006</v>
      </c>
      <c r="V71" s="68">
        <f t="shared" si="7"/>
        <v>25.431829828697577</v>
      </c>
      <c r="W71" s="33" t="str">
        <f t="shared" si="8"/>
        <v>False</v>
      </c>
    </row>
    <row r="72" spans="1:26" ht="12.75" customHeight="1" x14ac:dyDescent="0.15">
      <c r="A72" s="1"/>
      <c r="J72" s="33">
        <f t="shared" si="9"/>
        <v>27</v>
      </c>
      <c r="K72" s="33">
        <f t="shared" si="10"/>
        <v>5.5218443755816127</v>
      </c>
      <c r="L72" s="33">
        <f t="shared" si="11"/>
        <v>69.4169280560658</v>
      </c>
      <c r="M72" s="33">
        <f t="shared" si="12"/>
        <v>65.128453466922693</v>
      </c>
      <c r="N72" s="33">
        <f t="shared" si="0"/>
        <v>23.600922622510403</v>
      </c>
      <c r="O72" s="33">
        <f t="shared" si="1"/>
        <v>13.973615946142624</v>
      </c>
      <c r="P72" s="33" t="str">
        <f t="shared" si="2"/>
        <v>True</v>
      </c>
      <c r="Q72" s="33">
        <f t="shared" si="3"/>
        <v>13.973615946142624</v>
      </c>
      <c r="R72" s="33">
        <f t="shared" si="13"/>
        <v>3.7682604571293812</v>
      </c>
      <c r="S72" s="33">
        <f t="shared" si="4"/>
        <v>0.14750576639069002</v>
      </c>
      <c r="T72" s="33">
        <f t="shared" si="5"/>
        <v>0.41021029813021842</v>
      </c>
      <c r="U72" s="33">
        <f t="shared" si="6"/>
        <v>6.8931102804024817</v>
      </c>
      <c r="V72" s="68">
        <f t="shared" si="7"/>
        <v>25.983945229943352</v>
      </c>
      <c r="W72" s="33" t="str">
        <f t="shared" si="8"/>
        <v>False</v>
      </c>
    </row>
    <row r="73" spans="1:26" ht="12.75" customHeight="1" x14ac:dyDescent="0.15">
      <c r="A73" s="1"/>
      <c r="J73" s="33">
        <f t="shared" si="9"/>
        <v>28</v>
      </c>
      <c r="K73" s="33">
        <f t="shared" si="10"/>
        <v>5.7042620537535909</v>
      </c>
      <c r="L73" s="33">
        <f t="shared" si="11"/>
        <v>74.600975977805675</v>
      </c>
      <c r="M73" s="33">
        <f t="shared" si="12"/>
        <v>70.072926361972122</v>
      </c>
      <c r="N73" s="33">
        <f t="shared" si="0"/>
        <v>24.341195012176936</v>
      </c>
      <c r="O73" s="33">
        <f t="shared" si="1"/>
        <v>14.143480022672756</v>
      </c>
      <c r="P73" s="33" t="str">
        <f t="shared" si="2"/>
        <v>True</v>
      </c>
      <c r="Q73" s="33">
        <f t="shared" si="3"/>
        <v>14.143480022672756</v>
      </c>
      <c r="R73" s="33">
        <f t="shared" si="13"/>
        <v>3.9872319499179811</v>
      </c>
      <c r="S73" s="33">
        <f t="shared" si="4"/>
        <v>0.15213246882610584</v>
      </c>
      <c r="T73" s="33">
        <f t="shared" si="5"/>
        <v>0.42196055293694795</v>
      </c>
      <c r="U73" s="33">
        <f t="shared" si="6"/>
        <v>7.2936650364306823</v>
      </c>
      <c r="V73" s="68">
        <f t="shared" si="7"/>
        <v>26.524516882093067</v>
      </c>
      <c r="W73" s="33" t="str">
        <f t="shared" si="8"/>
        <v>False</v>
      </c>
      <c r="X73" s="69"/>
      <c r="Y73" s="69"/>
      <c r="Z73" s="69"/>
    </row>
    <row r="74" spans="1:26" ht="12.75" customHeight="1" x14ac:dyDescent="0.15">
      <c r="A74" s="1"/>
      <c r="J74" s="33">
        <f t="shared" si="9"/>
        <v>29</v>
      </c>
      <c r="K74" s="33">
        <f t="shared" si="10"/>
        <v>5.8848041358590928</v>
      </c>
      <c r="L74" s="33">
        <f t="shared" si="11"/>
        <v>79.944962447749205</v>
      </c>
      <c r="M74" s="33">
        <f t="shared" si="12"/>
        <v>75.174221125244742</v>
      </c>
      <c r="N74" s="33">
        <f t="shared" si="0"/>
        <v>25.073945172613492</v>
      </c>
      <c r="O74" s="33">
        <f t="shared" si="1"/>
        <v>14.306604979590078</v>
      </c>
      <c r="P74" s="33" t="str">
        <f t="shared" si="2"/>
        <v>True</v>
      </c>
      <c r="Q74" s="33">
        <f t="shared" si="3"/>
        <v>14.306604979590078</v>
      </c>
      <c r="R74" s="33">
        <f t="shared" si="13"/>
        <v>4.2094840821312376</v>
      </c>
      <c r="S74" s="33">
        <f t="shared" si="4"/>
        <v>0.15671215732883431</v>
      </c>
      <c r="T74" s="33">
        <f t="shared" si="5"/>
        <v>0.43356132835305528</v>
      </c>
      <c r="U74" s="33">
        <f t="shared" si="6"/>
        <v>7.700220919398399</v>
      </c>
      <c r="V74" s="68">
        <f t="shared" si="7"/>
        <v>27.054224891967525</v>
      </c>
      <c r="W74" s="33" t="str">
        <f t="shared" si="8"/>
        <v>False</v>
      </c>
    </row>
    <row r="75" spans="1:26" ht="12.75" customHeight="1" x14ac:dyDescent="0.15">
      <c r="A75" s="2"/>
      <c r="B75" s="69"/>
      <c r="C75" s="69"/>
      <c r="D75" s="69"/>
      <c r="E75" s="69"/>
      <c r="F75" s="69"/>
      <c r="G75" s="69"/>
      <c r="H75" s="69"/>
      <c r="I75" s="69"/>
      <c r="J75" s="69">
        <f t="shared" si="9"/>
        <v>30</v>
      </c>
      <c r="K75" s="33">
        <f t="shared" si="10"/>
        <v>6.0635598977398466</v>
      </c>
      <c r="L75" s="33">
        <f t="shared" si="11"/>
        <v>85.447265105115832</v>
      </c>
      <c r="M75" s="33">
        <f t="shared" si="12"/>
        <v>80.430795895426485</v>
      </c>
      <c r="N75" s="33">
        <f t="shared" si="0"/>
        <v>25.799520766805667</v>
      </c>
      <c r="O75" s="33">
        <f t="shared" si="1"/>
        <v>14.463501558751688</v>
      </c>
      <c r="P75" s="33" t="str">
        <f t="shared" si="2"/>
        <v>True</v>
      </c>
      <c r="Q75" s="33">
        <f t="shared" si="3"/>
        <v>14.463501558751688</v>
      </c>
      <c r="R75" s="33">
        <f t="shared" si="13"/>
        <v>4.4349301445003526</v>
      </c>
      <c r="S75" s="33">
        <f t="shared" si="4"/>
        <v>0.16124700479253543</v>
      </c>
      <c r="T75" s="33">
        <f t="shared" si="5"/>
        <v>0.44501996392981669</v>
      </c>
      <c r="U75" s="33">
        <f t="shared" si="6"/>
        <v>8.1126193159191775</v>
      </c>
      <c r="V75" s="68">
        <f t="shared" si="7"/>
        <v>27.573685648518747</v>
      </c>
      <c r="W75" s="33" t="str">
        <f t="shared" si="8"/>
        <v>False</v>
      </c>
    </row>
    <row r="76" spans="1:26" ht="12.75" customHeight="1" x14ac:dyDescent="0.15">
      <c r="A76" s="1"/>
      <c r="J76" s="33">
        <f t="shared" si="9"/>
        <v>31</v>
      </c>
      <c r="K76" s="33">
        <f t="shared" si="10"/>
        <v>6.2406113371727692</v>
      </c>
      <c r="L76" s="33">
        <f t="shared" si="11"/>
        <v>91.106337377099607</v>
      </c>
      <c r="M76" s="33">
        <f t="shared" si="12"/>
        <v>85.841179473631371</v>
      </c>
      <c r="N76" s="33">
        <f t="shared" si="0"/>
        <v>26.518241945474749</v>
      </c>
      <c r="O76" s="33">
        <f t="shared" si="1"/>
        <v>14.614624809307248</v>
      </c>
      <c r="P76" s="33" t="str">
        <f t="shared" si="2"/>
        <v>True</v>
      </c>
      <c r="Q76" s="33">
        <f t="shared" si="3"/>
        <v>14.614624809307248</v>
      </c>
      <c r="R76" s="33">
        <f t="shared" si="13"/>
        <v>4.6634889449326655</v>
      </c>
      <c r="S76" s="33">
        <f t="shared" si="4"/>
        <v>0.16573901215921719</v>
      </c>
      <c r="T76" s="33">
        <f t="shared" si="5"/>
        <v>0.45634319447409438</v>
      </c>
      <c r="U76" s="33">
        <f t="shared" si="6"/>
        <v>8.5307117049300523</v>
      </c>
      <c r="V76" s="68">
        <f t="shared" si="7"/>
        <v>28.083459834910926</v>
      </c>
      <c r="W76" s="33" t="str">
        <f t="shared" si="8"/>
        <v>False</v>
      </c>
    </row>
    <row r="77" spans="1:26" ht="12.75" customHeight="1" x14ac:dyDescent="0.15">
      <c r="A77" s="1"/>
      <c r="J77" s="33">
        <f t="shared" si="9"/>
        <v>32</v>
      </c>
      <c r="K77" s="33">
        <f t="shared" si="10"/>
        <v>6.4160339934614372</v>
      </c>
      <c r="L77" s="33">
        <f t="shared" si="11"/>
        <v>96.920702412025477</v>
      </c>
      <c r="M77" s="33">
        <f t="shared" si="12"/>
        <v>91.403965763929563</v>
      </c>
      <c r="N77" s="33">
        <f t="shared" si="0"/>
        <v>27.230404357389464</v>
      </c>
      <c r="O77" s="33">
        <f t="shared" si="1"/>
        <v>14.76038187574053</v>
      </c>
      <c r="P77" s="33" t="str">
        <f t="shared" si="2"/>
        <v>True</v>
      </c>
      <c r="Q77" s="33">
        <f t="shared" si="3"/>
        <v>14.76038187574053</v>
      </c>
      <c r="R77" s="33">
        <f t="shared" si="13"/>
        <v>4.89508426950293</v>
      </c>
      <c r="S77" s="33">
        <f t="shared" si="4"/>
        <v>0.17019002723368415</v>
      </c>
      <c r="T77" s="33">
        <f t="shared" si="5"/>
        <v>0.46753721844797302</v>
      </c>
      <c r="U77" s="33">
        <f t="shared" si="6"/>
        <v>8.9543586717070145</v>
      </c>
      <c r="V77" s="68">
        <f t="shared" si="7"/>
        <v>28.584059195253321</v>
      </c>
      <c r="W77" s="33" t="str">
        <f t="shared" si="8"/>
        <v>False</v>
      </c>
    </row>
    <row r="78" spans="1:26" ht="12.75" customHeight="1" x14ac:dyDescent="0.15">
      <c r="A78" s="1"/>
      <c r="J78" s="33">
        <f t="shared" si="9"/>
        <v>33</v>
      </c>
      <c r="K78" s="33">
        <f t="shared" si="10"/>
        <v>6.5898976512920466</v>
      </c>
      <c r="L78" s="33">
        <f t="shared" si="11"/>
        <v>102.88894768472454</v>
      </c>
      <c r="M78" s="33">
        <f t="shared" si="12"/>
        <v>97.117808819182571</v>
      </c>
      <c r="N78" s="33">
        <f t="shared" si="0"/>
        <v>27.936281746107664</v>
      </c>
      <c r="O78" s="33">
        <f t="shared" si="1"/>
        <v>14.901138473822277</v>
      </c>
      <c r="P78" s="33" t="str">
        <f t="shared" si="2"/>
        <v>True</v>
      </c>
      <c r="Q78" s="33">
        <f t="shared" si="3"/>
        <v>14.901138473822277</v>
      </c>
      <c r="R78" s="33">
        <f t="shared" si="13"/>
        <v>5.1296444130443097</v>
      </c>
      <c r="S78" s="33">
        <f t="shared" si="4"/>
        <v>0.17460176091317289</v>
      </c>
      <c r="T78" s="33">
        <f t="shared" si="5"/>
        <v>0.47860775668604111</v>
      </c>
      <c r="U78" s="33">
        <f t="shared" si="6"/>
        <v>9.3834290491961205</v>
      </c>
      <c r="V78" s="68">
        <f t="shared" si="7"/>
        <v>29.075952283927798</v>
      </c>
      <c r="W78" s="33" t="str">
        <f t="shared" si="8"/>
        <v>False</v>
      </c>
    </row>
    <row r="79" spans="1:26" ht="12.75" customHeight="1" x14ac:dyDescent="0.15">
      <c r="A79" s="1"/>
      <c r="J79" s="33">
        <f t="shared" si="9"/>
        <v>34</v>
      </c>
      <c r="K79" s="33">
        <f t="shared" si="10"/>
        <v>6.7622669482492812</v>
      </c>
      <c r="L79" s="33">
        <f t="shared" si="11"/>
        <v>109.00972018047615</v>
      </c>
      <c r="M79" s="33">
        <f t="shared" si="12"/>
        <v>102.98141840940788</v>
      </c>
      <c r="N79" s="33">
        <f t="shared" si="0"/>
        <v>28.636128200674555</v>
      </c>
      <c r="O79" s="33">
        <f t="shared" si="1"/>
        <v>15.037224310577409</v>
      </c>
      <c r="P79" s="33" t="str">
        <f t="shared" si="2"/>
        <v>True</v>
      </c>
      <c r="Q79" s="33">
        <f t="shared" si="3"/>
        <v>15.037224310577409</v>
      </c>
      <c r="R79" s="33">
        <f t="shared" si="13"/>
        <v>5.3671017683242654</v>
      </c>
      <c r="S79" s="33">
        <f t="shared" si="4"/>
        <v>0.17897580125421597</v>
      </c>
      <c r="T79" s="33">
        <f t="shared" si="5"/>
        <v>0.48956010305692571</v>
      </c>
      <c r="U79" s="33">
        <f t="shared" si="6"/>
        <v>9.8177991665112998</v>
      </c>
      <c r="V79" s="68">
        <f t="shared" si="7"/>
        <v>29.559569377865106</v>
      </c>
      <c r="W79" s="33" t="str">
        <f t="shared" si="8"/>
        <v>False</v>
      </c>
    </row>
    <row r="80" spans="1:26" ht="12.75" customHeight="1" x14ac:dyDescent="0.15">
      <c r="A80" s="2"/>
      <c r="B80" s="69"/>
      <c r="C80" s="69"/>
      <c r="D80" s="69"/>
      <c r="E80" s="69"/>
      <c r="F80" s="69"/>
      <c r="G80" s="69"/>
      <c r="H80" s="69"/>
      <c r="I80" s="69"/>
      <c r="J80" s="69">
        <f t="shared" si="9"/>
        <v>35</v>
      </c>
      <c r="K80" s="33">
        <f t="shared" si="10"/>
        <v>6.9332019016647877</v>
      </c>
      <c r="L80" s="33">
        <f t="shared" si="11"/>
        <v>115.28172207939693</v>
      </c>
      <c r="M80" s="33">
        <f t="shared" si="12"/>
        <v>108.99355604334976</v>
      </c>
      <c r="N80" s="33">
        <f t="shared" si="0"/>
        <v>29.33018011515745</v>
      </c>
      <c r="O80" s="33">
        <f t="shared" si="1"/>
        <v>15.168937647981862</v>
      </c>
      <c r="P80" s="33" t="str">
        <f t="shared" si="2"/>
        <v>True</v>
      </c>
      <c r="Q80" s="33">
        <f t="shared" si="3"/>
        <v>15.168937647981862</v>
      </c>
      <c r="R80" s="33">
        <f t="shared" si="13"/>
        <v>5.607392464832345</v>
      </c>
      <c r="S80" s="33">
        <f t="shared" si="4"/>
        <v>0.18331362571973406</v>
      </c>
      <c r="T80" s="33">
        <f t="shared" si="5"/>
        <v>0.50039916838235055</v>
      </c>
      <c r="U80" s="33">
        <f t="shared" si="6"/>
        <v>10.257352188185047</v>
      </c>
      <c r="V80" s="68">
        <f t="shared" si="7"/>
        <v>30.03530669561615</v>
      </c>
      <c r="W80" s="33" t="str">
        <f t="shared" si="8"/>
        <v>False</v>
      </c>
    </row>
    <row r="81" spans="1:23" ht="12.75" customHeight="1" x14ac:dyDescent="0.15">
      <c r="A81" s="1"/>
      <c r="J81" s="33">
        <f t="shared" si="9"/>
        <v>36</v>
      </c>
      <c r="K81" s="33">
        <f t="shared" si="10"/>
        <v>7.1027583675466825</v>
      </c>
      <c r="L81" s="33">
        <f t="shared" si="11"/>
        <v>121.70370687572878</v>
      </c>
      <c r="M81" s="33">
        <f t="shared" si="12"/>
        <v>115.15303138487955</v>
      </c>
      <c r="N81" s="33">
        <f t="shared" si="0"/>
        <v>30.018657901900227</v>
      </c>
      <c r="O81" s="33">
        <f t="shared" si="1"/>
        <v>15.296549167453243</v>
      </c>
      <c r="P81" s="33" t="str">
        <f t="shared" si="2"/>
        <v>True</v>
      </c>
      <c r="Q81" s="33">
        <f t="shared" si="3"/>
        <v>15.296549167453243</v>
      </c>
      <c r="R81" s="33">
        <f t="shared" si="13"/>
        <v>5.8504560498184821</v>
      </c>
      <c r="S81" s="33">
        <f t="shared" si="4"/>
        <v>0.18761661188687642</v>
      </c>
      <c r="T81" s="33">
        <f t="shared" si="5"/>
        <v>0.51112951868121315</v>
      </c>
      <c r="U81" s="33">
        <f t="shared" si="6"/>
        <v>10.701977530706031</v>
      </c>
      <c r="V81" s="68">
        <f t="shared" si="7"/>
        <v>30.50353003880738</v>
      </c>
      <c r="W81" s="33" t="str">
        <f t="shared" si="8"/>
        <v>False</v>
      </c>
    </row>
    <row r="82" spans="1:23" ht="12.75" customHeight="1" x14ac:dyDescent="0.15">
      <c r="A82" s="1"/>
      <c r="J82" s="33">
        <f t="shared" si="9"/>
        <v>37</v>
      </c>
      <c r="K82" s="33">
        <f t="shared" si="10"/>
        <v>7.2709884420244633</v>
      </c>
      <c r="L82" s="33">
        <f t="shared" si="11"/>
        <v>128.27447587672251</v>
      </c>
      <c r="M82" s="33">
        <f t="shared" si="12"/>
        <v>121.45869901480992</v>
      </c>
      <c r="N82" s="33">
        <f t="shared" si="0"/>
        <v>30.701767495424658</v>
      </c>
      <c r="O82" s="33">
        <f t="shared" si="1"/>
        <v>15.420305259636077</v>
      </c>
      <c r="P82" s="33" t="str">
        <f t="shared" si="2"/>
        <v>True</v>
      </c>
      <c r="Q82" s="33">
        <f t="shared" si="3"/>
        <v>15.420305259636077</v>
      </c>
      <c r="R82" s="33">
        <f t="shared" si="13"/>
        <v>6.0962352055028068</v>
      </c>
      <c r="S82" s="33">
        <f t="shared" si="4"/>
        <v>0.19188604684640412</v>
      </c>
      <c r="T82" s="33">
        <f t="shared" si="5"/>
        <v>0.52175540861195469</v>
      </c>
      <c r="U82" s="33">
        <f t="shared" si="6"/>
        <v>11.151570345223654</v>
      </c>
      <c r="V82" s="68">
        <f t="shared" si="7"/>
        <v>30.964577949515089</v>
      </c>
      <c r="W82" s="33" t="str">
        <f t="shared" si="8"/>
        <v>False</v>
      </c>
    </row>
    <row r="83" spans="1:23" ht="12.75" customHeight="1" x14ac:dyDescent="0.15">
      <c r="A83" s="1"/>
      <c r="J83" s="33">
        <f t="shared" si="9"/>
        <v>38</v>
      </c>
      <c r="K83" s="33">
        <f t="shared" si="10"/>
        <v>7.4379408139004601</v>
      </c>
      <c r="L83" s="33">
        <f t="shared" si="11"/>
        <v>134.9928750342132</v>
      </c>
      <c r="M83" s="33">
        <f t="shared" si="12"/>
        <v>127.90945549608666</v>
      </c>
      <c r="N83" s="33">
        <f t="shared" si="0"/>
        <v>31.379701677530974</v>
      </c>
      <c r="O83" s="33">
        <f t="shared" si="1"/>
        <v>15.540430838902653</v>
      </c>
      <c r="P83" s="33" t="str">
        <f t="shared" si="2"/>
        <v>True</v>
      </c>
      <c r="Q83" s="33">
        <f t="shared" si="3"/>
        <v>15.540430838902653</v>
      </c>
      <c r="R83" s="33">
        <f t="shared" si="13"/>
        <v>6.3446754974057304</v>
      </c>
      <c r="S83" s="33">
        <f t="shared" si="4"/>
        <v>0.19612313548456858</v>
      </c>
      <c r="T83" s="33">
        <f t="shared" si="5"/>
        <v>0.53228081083189849</v>
      </c>
      <c r="U83" s="33">
        <f t="shared" si="6"/>
        <v>11.606031057179541</v>
      </c>
      <c r="V83" s="68">
        <f t="shared" si="7"/>
        <v>31.418764459746136</v>
      </c>
      <c r="W83" s="33" t="str">
        <f t="shared" si="8"/>
        <v>False</v>
      </c>
    </row>
    <row r="84" spans="1:23" ht="12.75" customHeight="1" x14ac:dyDescent="0.15">
      <c r="A84" s="1"/>
      <c r="J84" s="33">
        <f t="shared" si="9"/>
        <v>39</v>
      </c>
      <c r="K84" s="33">
        <f t="shared" si="10"/>
        <v>7.603661075420681</v>
      </c>
      <c r="L84" s="33">
        <f t="shared" si="11"/>
        <v>141.85779206891308</v>
      </c>
      <c r="M84" s="33">
        <f t="shared" si="12"/>
        <v>134.50423670643272</v>
      </c>
      <c r="N84" s="33">
        <f t="shared" si="0"/>
        <v>32.052641249012119</v>
      </c>
      <c r="O84" s="33">
        <f t="shared" si="1"/>
        <v>15.657131762515958</v>
      </c>
      <c r="P84" s="33" t="str">
        <f t="shared" si="2"/>
        <v>True</v>
      </c>
      <c r="Q84" s="33">
        <f t="shared" si="3"/>
        <v>15.657131762515958</v>
      </c>
      <c r="R84" s="33">
        <f t="shared" si="13"/>
        <v>6.5957251495769667</v>
      </c>
      <c r="S84" s="33">
        <f t="shared" si="4"/>
        <v>0.20032900780632573</v>
      </c>
      <c r="T84" s="33">
        <f t="shared" si="5"/>
        <v>0.54270944186838666</v>
      </c>
      <c r="U84" s="33">
        <f t="shared" si="6"/>
        <v>12.065264955144041</v>
      </c>
      <c r="V84" s="68">
        <f t="shared" si="7"/>
        <v>31.866381495467536</v>
      </c>
      <c r="W84" s="33" t="str">
        <f t="shared" si="8"/>
        <v>False</v>
      </c>
    </row>
    <row r="85" spans="1:23" ht="12.75" customHeight="1" x14ac:dyDescent="0.15">
      <c r="A85" s="2"/>
      <c r="B85" s="69"/>
      <c r="C85" s="69"/>
      <c r="D85" s="69"/>
      <c r="E85" s="69"/>
      <c r="F85" s="69"/>
      <c r="G85" s="69"/>
      <c r="H85" s="69"/>
      <c r="I85" s="69"/>
      <c r="J85" s="69">
        <f t="shared" si="9"/>
        <v>40</v>
      </c>
      <c r="K85" s="33">
        <f t="shared" si="10"/>
        <v>7.7681919971854239</v>
      </c>
      <c r="L85" s="33">
        <f t="shared" si="11"/>
        <v>148.86815385319511</v>
      </c>
      <c r="M85" s="33">
        <f t="shared" si="12"/>
        <v>141.24201540760583</v>
      </c>
      <c r="N85" s="33">
        <f t="shared" si="0"/>
        <v>32.720756069228131</v>
      </c>
      <c r="O85" s="33">
        <f t="shared" si="1"/>
        <v>15.770596919161997</v>
      </c>
      <c r="P85" s="33" t="str">
        <f t="shared" si="2"/>
        <v>True</v>
      </c>
      <c r="Q85" s="33">
        <f t="shared" si="3"/>
        <v>15.770596919161997</v>
      </c>
      <c r="R85" s="33">
        <f t="shared" si="13"/>
        <v>6.8493348431762184</v>
      </c>
      <c r="S85" s="33">
        <f t="shared" si="4"/>
        <v>0.20450472543267581</v>
      </c>
      <c r="T85" s="33">
        <f t="shared" si="5"/>
        <v>0.55304478499666421</v>
      </c>
      <c r="U85" s="33">
        <f t="shared" si="6"/>
        <v>12.529181822368885</v>
      </c>
      <c r="V85" s="68">
        <f t="shared" si="7"/>
        <v>32.307700986659839</v>
      </c>
      <c r="W85" s="33" t="str">
        <f t="shared" si="8"/>
        <v>False</v>
      </c>
    </row>
    <row r="86" spans="1:23" ht="12.75" customHeight="1" x14ac:dyDescent="0.15">
      <c r="A86" s="1"/>
      <c r="J86" s="33">
        <f t="shared" si="9"/>
        <v>41</v>
      </c>
      <c r="K86" s="33">
        <f t="shared" si="10"/>
        <v>7.931573772152122</v>
      </c>
      <c r="L86" s="33">
        <f t="shared" si="11"/>
        <v>156.02292402293418</v>
      </c>
      <c r="M86" s="33">
        <f t="shared" si="12"/>
        <v>148.12179902468699</v>
      </c>
      <c r="N86" s="33">
        <f t="shared" si="0"/>
        <v>33.384205981389904</v>
      </c>
      <c r="O86" s="33">
        <f t="shared" si="1"/>
        <v>15.88100003954775</v>
      </c>
      <c r="P86" s="33" t="str">
        <f t="shared" si="2"/>
        <v>True</v>
      </c>
      <c r="Q86" s="33">
        <f t="shared" si="3"/>
        <v>15.88100003954775</v>
      </c>
      <c r="R86" s="33">
        <f t="shared" si="13"/>
        <v>7.1054575354097533</v>
      </c>
      <c r="S86" s="33">
        <f t="shared" si="4"/>
        <v>0.20865128738368691</v>
      </c>
      <c r="T86" s="33">
        <f t="shared" si="5"/>
        <v>0.56329011053845912</v>
      </c>
      <c r="U86" s="33">
        <f t="shared" si="6"/>
        <v>12.997695605575968</v>
      </c>
      <c r="V86" s="68">
        <f t="shared" si="7"/>
        <v>32.742976726063397</v>
      </c>
      <c r="W86" s="33" t="str">
        <f t="shared" si="8"/>
        <v>False</v>
      </c>
    </row>
    <row r="87" spans="1:23" ht="12.75" customHeight="1" x14ac:dyDescent="0.15">
      <c r="A87" s="1"/>
      <c r="J87" s="33">
        <f t="shared" si="9"/>
        <v>42</v>
      </c>
      <c r="K87" s="33">
        <f t="shared" si="10"/>
        <v>8.0938442328932894</v>
      </c>
      <c r="L87" s="33">
        <f t="shared" si="11"/>
        <v>163.32110079299002</v>
      </c>
      <c r="M87" s="33">
        <f t="shared" si="12"/>
        <v>155.14262761239527</v>
      </c>
      <c r="N87" s="33">
        <f t="shared" si="0"/>
        <v>34.043141638614507</v>
      </c>
      <c r="O87" s="33">
        <f t="shared" si="1"/>
        <v>15.988501272228913</v>
      </c>
      <c r="P87" s="33" t="str">
        <f t="shared" si="2"/>
        <v>True</v>
      </c>
      <c r="Q87" s="33">
        <f t="shared" si="3"/>
        <v>15.988501272228913</v>
      </c>
      <c r="R87" s="33">
        <f t="shared" si="13"/>
        <v>7.3640482962801537</v>
      </c>
      <c r="S87" s="33">
        <f t="shared" si="4"/>
        <v>0.21276963524134068</v>
      </c>
      <c r="T87" s="33">
        <f t="shared" si="5"/>
        <v>0.57344849392912089</v>
      </c>
      <c r="U87" s="33">
        <f t="shared" si="6"/>
        <v>13.470724116330967</v>
      </c>
      <c r="V87" s="68">
        <f t="shared" si="7"/>
        <v>33.172446012169544</v>
      </c>
      <c r="W87" s="33" t="str">
        <f t="shared" si="8"/>
        <v>False</v>
      </c>
    </row>
    <row r="88" spans="1:23" ht="12.75" customHeight="1" x14ac:dyDescent="0.15">
      <c r="A88" s="1"/>
      <c r="J88" s="33">
        <f t="shared" si="9"/>
        <v>43</v>
      </c>
      <c r="K88" s="33">
        <f t="shared" si="10"/>
        <v>8.2550390456242226</v>
      </c>
      <c r="L88" s="33">
        <f t="shared" si="11"/>
        <v>170.76171495429963</v>
      </c>
      <c r="M88" s="33">
        <f t="shared" si="12"/>
        <v>162.30357198844493</v>
      </c>
      <c r="N88" s="33">
        <f t="shared" si="0"/>
        <v>34.697705243518712</v>
      </c>
      <c r="O88" s="33">
        <f t="shared" si="1"/>
        <v>16.093248560218331</v>
      </c>
      <c r="P88" s="33" t="str">
        <f t="shared" si="2"/>
        <v>True</v>
      </c>
      <c r="Q88" s="33">
        <f t="shared" si="3"/>
        <v>16.093248560218331</v>
      </c>
      <c r="R88" s="33">
        <f t="shared" si="13"/>
        <v>7.625064160981621</v>
      </c>
      <c r="S88" s="33">
        <f t="shared" si="4"/>
        <v>0.21686065777199193</v>
      </c>
      <c r="T88" s="33">
        <f t="shared" si="5"/>
        <v>0.58352283184698095</v>
      </c>
      <c r="U88" s="33">
        <f t="shared" si="6"/>
        <v>13.94818876103667</v>
      </c>
      <c r="V88" s="68">
        <f t="shared" si="7"/>
        <v>33.596331106225854</v>
      </c>
      <c r="W88" s="33" t="str">
        <f t="shared" si="8"/>
        <v>False</v>
      </c>
    </row>
    <row r="89" spans="1:23" ht="12.75" customHeight="1" x14ac:dyDescent="0.15">
      <c r="A89" s="1"/>
      <c r="J89" s="33">
        <f t="shared" si="9"/>
        <v>44</v>
      </c>
      <c r="K89" s="33">
        <f t="shared" si="10"/>
        <v>8.4151918839810609</v>
      </c>
      <c r="L89" s="33">
        <f t="shared" si="11"/>
        <v>178.34382803340762</v>
      </c>
      <c r="M89" s="33">
        <f t="shared" si="12"/>
        <v>169.60373201652374</v>
      </c>
      <c r="N89" s="33">
        <f t="shared" si="0"/>
        <v>35.348031212216114</v>
      </c>
      <c r="O89" s="33">
        <f t="shared" si="1"/>
        <v>16.195378847807913</v>
      </c>
      <c r="P89" s="33" t="str">
        <f t="shared" si="2"/>
        <v>True</v>
      </c>
      <c r="Q89" s="33">
        <f t="shared" si="3"/>
        <v>16.195378847807913</v>
      </c>
      <c r="R89" s="33">
        <f t="shared" si="13"/>
        <v>7.8884639960846394</v>
      </c>
      <c r="S89" s="33">
        <f t="shared" si="4"/>
        <v>0.22092519507635069</v>
      </c>
      <c r="T89" s="33">
        <f t="shared" si="5"/>
        <v>0.59351585665391815</v>
      </c>
      <c r="U89" s="33">
        <f t="shared" si="6"/>
        <v>14.430014296150572</v>
      </c>
      <c r="V89" s="68">
        <f t="shared" si="7"/>
        <v>34.014840528298485</v>
      </c>
      <c r="W89" s="33" t="str">
        <f t="shared" si="8"/>
        <v>False</v>
      </c>
    </row>
    <row r="90" spans="1:23" ht="12.75" customHeight="1" x14ac:dyDescent="0.15">
      <c r="A90" s="2"/>
      <c r="B90" s="69"/>
      <c r="C90" s="69"/>
      <c r="D90" s="69"/>
      <c r="E90" s="69"/>
      <c r="F90" s="69"/>
      <c r="G90" s="69"/>
      <c r="H90" s="69"/>
      <c r="I90" s="69"/>
      <c r="J90" s="69">
        <f t="shared" si="9"/>
        <v>45</v>
      </c>
      <c r="K90" s="33">
        <f t="shared" si="10"/>
        <v>8.5743345850869463</v>
      </c>
      <c r="L90" s="33">
        <f t="shared" si="11"/>
        <v>186.06653059769533</v>
      </c>
      <c r="M90" s="33">
        <f t="shared" si="12"/>
        <v>177.04223502365312</v>
      </c>
      <c r="N90" s="33">
        <f t="shared" si="0"/>
        <v>35.994246772001851</v>
      </c>
      <c r="O90" s="33">
        <f t="shared" si="1"/>
        <v>16.29501914209191</v>
      </c>
      <c r="P90" s="33" t="str">
        <f t="shared" si="2"/>
        <v>True</v>
      </c>
      <c r="Q90" s="33">
        <f t="shared" si="3"/>
        <v>16.29501914209191</v>
      </c>
      <c r="R90" s="33">
        <f t="shared" si="13"/>
        <v>8.1542083779142835</v>
      </c>
      <c r="S90" s="33">
        <f t="shared" si="4"/>
        <v>0.22496404232501158</v>
      </c>
      <c r="T90" s="33">
        <f t="shared" si="5"/>
        <v>0.60343014935911055</v>
      </c>
      <c r="U90" s="33">
        <f t="shared" si="6"/>
        <v>14.916128605707767</v>
      </c>
      <c r="V90" s="68">
        <f t="shared" si="7"/>
        <v>34.428170213552242</v>
      </c>
      <c r="W90" s="33" t="str">
        <f t="shared" si="8"/>
        <v>False</v>
      </c>
    </row>
    <row r="91" spans="1:23" ht="12.75" customHeight="1" x14ac:dyDescent="0.15">
      <c r="A91" s="1"/>
      <c r="J91" s="33">
        <f t="shared" si="9"/>
        <v>46</v>
      </c>
      <c r="K91" s="33">
        <f t="shared" si="10"/>
        <v>8.7324972900757931</v>
      </c>
      <c r="L91" s="33">
        <f t="shared" si="11"/>
        <v>193.92894069164319</v>
      </c>
      <c r="M91" s="33">
        <f t="shared" si="12"/>
        <v>184.61823433855582</v>
      </c>
      <c r="N91" s="33">
        <f t="shared" si="0"/>
        <v>36.63647250068685</v>
      </c>
      <c r="O91" s="33">
        <f t="shared" si="1"/>
        <v>16.392287449660611</v>
      </c>
      <c r="P91" s="33" t="str">
        <f t="shared" si="2"/>
        <v>True</v>
      </c>
      <c r="Q91" s="33">
        <f t="shared" si="3"/>
        <v>16.392287449660611</v>
      </c>
      <c r="R91" s="33">
        <f t="shared" si="13"/>
        <v>8.4222594817447316</v>
      </c>
      <c r="S91" s="33">
        <f t="shared" si="4"/>
        <v>0.22897795312929281</v>
      </c>
      <c r="T91" s="33">
        <f t="shared" si="5"/>
        <v>0.61326815128714329</v>
      </c>
      <c r="U91" s="33">
        <f t="shared" si="6"/>
        <v>15.406462498629397</v>
      </c>
      <c r="V91" s="68">
        <f t="shared" si="7"/>
        <v>34.836504546703132</v>
      </c>
      <c r="W91" s="33" t="str">
        <f t="shared" si="8"/>
        <v>False</v>
      </c>
    </row>
    <row r="92" spans="1:23" ht="12.75" customHeight="1" x14ac:dyDescent="0.15">
      <c r="A92" s="1"/>
      <c r="J92" s="33">
        <f t="shared" si="9"/>
        <v>47</v>
      </c>
      <c r="K92" s="33">
        <f t="shared" si="10"/>
        <v>8.8897085709349479</v>
      </c>
      <c r="L92" s="33">
        <f t="shared" si="11"/>
        <v>201.9302023912355</v>
      </c>
      <c r="M92" s="33">
        <f t="shared" si="12"/>
        <v>192.3309079392582</v>
      </c>
      <c r="N92" s="33">
        <f t="shared" si="0"/>
        <v>37.27482281443524</v>
      </c>
      <c r="O92" s="33">
        <f t="shared" si="1"/>
        <v>16.487293605650578</v>
      </c>
      <c r="P92" s="33" t="str">
        <f t="shared" si="2"/>
        <v>True</v>
      </c>
      <c r="Q92" s="33">
        <f t="shared" si="3"/>
        <v>16.487293605650578</v>
      </c>
      <c r="R92" s="33">
        <f t="shared" si="13"/>
        <v>8.6925809806168122</v>
      </c>
      <c r="S92" s="33">
        <f t="shared" si="4"/>
        <v>0.23296764259022024</v>
      </c>
      <c r="T92" s="33">
        <f t="shared" si="5"/>
        <v>0.62303217460590476</v>
      </c>
      <c r="U92" s="33">
        <f t="shared" si="6"/>
        <v>15.900949523634148</v>
      </c>
      <c r="V92" s="68">
        <f t="shared" si="7"/>
        <v>35.240017289940504</v>
      </c>
      <c r="W92" s="33" t="str">
        <f t="shared" si="8"/>
        <v>False</v>
      </c>
    </row>
    <row r="93" spans="1:23" ht="12.75" customHeight="1" x14ac:dyDescent="0.15">
      <c r="A93" s="1"/>
      <c r="J93" s="33">
        <f t="shared" si="9"/>
        <v>48</v>
      </c>
      <c r="K93" s="33">
        <f t="shared" si="10"/>
        <v>9.0459955452695535</v>
      </c>
      <c r="L93" s="33">
        <f t="shared" si="11"/>
        <v>210.06948446514457</v>
      </c>
      <c r="M93" s="33">
        <f t="shared" si="12"/>
        <v>200.17945719953181</v>
      </c>
      <c r="N93" s="33">
        <f t="shared" si="0"/>
        <v>37.909406410024189</v>
      </c>
      <c r="O93" s="33">
        <f t="shared" si="1"/>
        <v>16.580140009642065</v>
      </c>
      <c r="P93" s="33" t="str">
        <f t="shared" si="2"/>
        <v>True</v>
      </c>
      <c r="Q93" s="33">
        <f t="shared" si="3"/>
        <v>16.580140009642065</v>
      </c>
      <c r="R93" s="33">
        <f t="shared" si="13"/>
        <v>8.9651379527413031</v>
      </c>
      <c r="S93" s="33">
        <f t="shared" si="4"/>
        <v>0.2369337900626512</v>
      </c>
      <c r="T93" s="33">
        <f t="shared" si="5"/>
        <v>0.63272441184809447</v>
      </c>
      <c r="U93" s="33">
        <f t="shared" si="6"/>
        <v>16.399525799855226</v>
      </c>
      <c r="V93" s="68">
        <f t="shared" si="7"/>
        <v>35.638872417399746</v>
      </c>
      <c r="W93" s="33" t="str">
        <f t="shared" si="8"/>
        <v>False</v>
      </c>
    </row>
    <row r="94" spans="1:23" ht="12.75" customHeight="1" x14ac:dyDescent="0.15">
      <c r="A94" s="1"/>
      <c r="J94" s="33">
        <f t="shared" si="9"/>
        <v>49</v>
      </c>
      <c r="K94" s="33">
        <f t="shared" si="10"/>
        <v>9.2013839803734871</v>
      </c>
      <c r="L94" s="33">
        <f t="shared" si="11"/>
        <v>218.34597913264662</v>
      </c>
      <c r="M94" s="33">
        <f t="shared" si="12"/>
        <v>208.16310572497099</v>
      </c>
      <c r="N94" s="33">
        <f t="shared" si="0"/>
        <v>38.540326666655204</v>
      </c>
      <c r="O94" s="33">
        <f t="shared" si="1"/>
        <v>16.6709222806711</v>
      </c>
      <c r="P94" s="33" t="str">
        <f t="shared" si="2"/>
        <v>True</v>
      </c>
      <c r="Q94" s="33">
        <f t="shared" si="3"/>
        <v>16.6709222806711</v>
      </c>
      <c r="R94" s="33">
        <f t="shared" si="13"/>
        <v>9.2398967965831442</v>
      </c>
      <c r="S94" s="33">
        <f t="shared" si="4"/>
        <v>0.24087704166659504</v>
      </c>
      <c r="T94" s="33">
        <f t="shared" si="5"/>
        <v>0.6423469445419443</v>
      </c>
      <c r="U94" s="33">
        <f t="shared" si="6"/>
        <v>16.902129861507717</v>
      </c>
      <c r="V94" s="68">
        <f t="shared" si="7"/>
        <v>36.033224867413345</v>
      </c>
      <c r="W94" s="33" t="str">
        <f t="shared" si="8"/>
        <v>False</v>
      </c>
    </row>
    <row r="95" spans="1:23" ht="12.75" customHeight="1" x14ac:dyDescent="0.15">
      <c r="A95" s="2"/>
      <c r="B95" s="69"/>
      <c r="C95" s="69"/>
      <c r="D95" s="69"/>
      <c r="E95" s="69"/>
      <c r="F95" s="69"/>
      <c r="G95" s="69"/>
      <c r="H95" s="69"/>
      <c r="I95" s="69"/>
      <c r="J95" s="69">
        <f t="shared" si="9"/>
        <v>50</v>
      </c>
      <c r="K95" s="33">
        <f t="shared" si="10"/>
        <v>9.3558983878072794</v>
      </c>
      <c r="L95" s="33">
        <f t="shared" si="11"/>
        <v>226.75890090936142</v>
      </c>
      <c r="M95" s="33">
        <f t="shared" si="12"/>
        <v>216.2810982705349</v>
      </c>
      <c r="N95" s="33">
        <f t="shared" si="0"/>
        <v>39.167682011775049</v>
      </c>
      <c r="O95" s="33">
        <f t="shared" si="1"/>
        <v>16.759729841781372</v>
      </c>
      <c r="P95" s="33" t="str">
        <f t="shared" si="2"/>
        <v>True</v>
      </c>
      <c r="Q95" s="33">
        <f t="shared" si="3"/>
        <v>16.759729841781372</v>
      </c>
      <c r="R95" s="33">
        <f t="shared" si="13"/>
        <v>9.5168251528348389</v>
      </c>
      <c r="S95" s="33">
        <f t="shared" si="4"/>
        <v>0.24479801257359407</v>
      </c>
      <c r="T95" s="33">
        <f t="shared" si="5"/>
        <v>0.65190175105135728</v>
      </c>
      <c r="U95" s="33">
        <f t="shared" si="6"/>
        <v>17.408702515158012</v>
      </c>
      <c r="V95" s="68">
        <f t="shared" si="7"/>
        <v>36.423221222210181</v>
      </c>
      <c r="W95" s="33" t="str">
        <f t="shared" si="8"/>
        <v>False</v>
      </c>
    </row>
    <row r="96" spans="1:23" ht="12.75" customHeight="1" x14ac:dyDescent="0.15">
      <c r="A96" s="1"/>
      <c r="J96" s="33">
        <f t="shared" si="9"/>
        <v>51</v>
      </c>
      <c r="K96" s="33">
        <f t="shared" si="10"/>
        <v>9.5095621095268736</v>
      </c>
      <c r="L96" s="33">
        <f t="shared" si="11"/>
        <v>235.30748553289661</v>
      </c>
      <c r="M96" s="33">
        <f t="shared" si="12"/>
        <v>224.53269973228115</v>
      </c>
      <c r="N96" s="33">
        <f t="shared" si="0"/>
        <v>39.791566254794091</v>
      </c>
      <c r="O96" s="33">
        <f t="shared" si="1"/>
        <v>16.846646443008243</v>
      </c>
      <c r="P96" s="33" t="str">
        <f t="shared" si="2"/>
        <v>True</v>
      </c>
      <c r="Q96" s="33">
        <f t="shared" si="3"/>
        <v>16.846646443008243</v>
      </c>
      <c r="R96" s="33">
        <f t="shared" si="13"/>
        <v>9.7958918325841253</v>
      </c>
      <c r="S96" s="33">
        <f t="shared" si="4"/>
        <v>0.24869728909246308</v>
      </c>
      <c r="T96" s="33">
        <f t="shared" si="5"/>
        <v>0.66139071371257718</v>
      </c>
      <c r="U96" s="33">
        <f t="shared" si="6"/>
        <v>17.919186708324162</v>
      </c>
      <c r="V96" s="68">
        <f t="shared" si="7"/>
        <v>36.809000323419845</v>
      </c>
      <c r="W96" s="33" t="str">
        <f t="shared" si="8"/>
        <v>False</v>
      </c>
    </row>
    <row r="97" spans="1:23" ht="12.75" customHeight="1" x14ac:dyDescent="0.15">
      <c r="A97" s="1"/>
      <c r="J97" s="33">
        <f t="shared" si="9"/>
        <v>52</v>
      </c>
      <c r="K97" s="33">
        <f t="shared" si="10"/>
        <v>9.6623973964735459</v>
      </c>
      <c r="L97" s="33">
        <f t="shared" si="11"/>
        <v>243.99098896133881</v>
      </c>
      <c r="M97" s="33">
        <f t="shared" si="12"/>
        <v>232.91719420680073</v>
      </c>
      <c r="N97" s="33">
        <f t="shared" si="0"/>
        <v>40.412068892100251</v>
      </c>
      <c r="O97" s="33">
        <f t="shared" si="1"/>
        <v>16.931750630406189</v>
      </c>
      <c r="P97" s="33" t="str">
        <f t="shared" si="2"/>
        <v>True</v>
      </c>
      <c r="Q97" s="33">
        <f t="shared" si="3"/>
        <v>16.931750630406189</v>
      </c>
      <c r="R97" s="33">
        <f t="shared" si="13"/>
        <v>10.077066751064256</v>
      </c>
      <c r="S97" s="33">
        <f t="shared" si="4"/>
        <v>0.25257543057562659</v>
      </c>
      <c r="T97" s="33">
        <f t="shared" si="5"/>
        <v>0.6708156253433587</v>
      </c>
      <c r="U97" s="33">
        <f t="shared" si="6"/>
        <v>18.433527408288196</v>
      </c>
      <c r="V97" s="68">
        <f t="shared" si="7"/>
        <v>37.190693830625477</v>
      </c>
      <c r="W97" s="33" t="str">
        <f t="shared" si="8"/>
        <v>False</v>
      </c>
    </row>
    <row r="98" spans="1:23" ht="12.75" customHeight="1" x14ac:dyDescent="0.15">
      <c r="A98" s="1"/>
      <c r="J98" s="33">
        <f t="shared" si="9"/>
        <v>53</v>
      </c>
      <c r="K98" s="33">
        <f t="shared" si="10"/>
        <v>9.8144254804214164</v>
      </c>
      <c r="L98" s="33">
        <f t="shared" si="11"/>
        <v>252.8086864382864</v>
      </c>
      <c r="M98" s="33">
        <f t="shared" si="12"/>
        <v>241.43388411254983</v>
      </c>
      <c r="N98" s="33">
        <f t="shared" si="0"/>
        <v>41.029275386349084</v>
      </c>
      <c r="O98" s="33">
        <f t="shared" si="1"/>
        <v>17.015116167656576</v>
      </c>
      <c r="P98" s="33" t="str">
        <f t="shared" si="2"/>
        <v>True</v>
      </c>
      <c r="Q98" s="33">
        <f t="shared" si="3"/>
        <v>17.015116167656576</v>
      </c>
      <c r="R98" s="33">
        <f t="shared" si="13"/>
        <v>10.360320866446788</v>
      </c>
      <c r="S98" s="33">
        <f t="shared" si="4"/>
        <v>0.25643297116468178</v>
      </c>
      <c r="T98" s="33">
        <f t="shared" si="5"/>
        <v>0.68017819519106915</v>
      </c>
      <c r="U98" s="33">
        <f t="shared" si="6"/>
        <v>18.951671490132536</v>
      </c>
      <c r="V98" s="68">
        <f t="shared" si="7"/>
        <v>37.568426729264516</v>
      </c>
      <c r="W98" s="33" t="str">
        <f t="shared" si="8"/>
        <v>False</v>
      </c>
    </row>
    <row r="99" spans="1:23" ht="12.75" customHeight="1" x14ac:dyDescent="0.15">
      <c r="A99" s="1"/>
      <c r="J99" s="33">
        <f t="shared" si="9"/>
        <v>54</v>
      </c>
      <c r="K99" s="33">
        <f t="shared" si="10"/>
        <v>9.9656666397807196</v>
      </c>
      <c r="L99" s="33">
        <f t="shared" si="11"/>
        <v>261.75987161877731</v>
      </c>
      <c r="M99" s="33">
        <f t="shared" si="12"/>
        <v>250.08208936787426</v>
      </c>
      <c r="N99" s="33">
        <f t="shared" si="0"/>
        <v>41.643267422649458</v>
      </c>
      <c r="O99" s="33">
        <f t="shared" si="1"/>
        <v>17.096812415887896</v>
      </c>
      <c r="P99" s="33" t="str">
        <f t="shared" si="2"/>
        <v>True</v>
      </c>
      <c r="Q99" s="33">
        <f t="shared" si="3"/>
        <v>17.096812415887896</v>
      </c>
      <c r="R99" s="33">
        <f t="shared" si="13"/>
        <v>10.645626123199058</v>
      </c>
      <c r="S99" s="33">
        <f t="shared" si="4"/>
        <v>0.26027042139155909</v>
      </c>
      <c r="T99" s="33">
        <f t="shared" si="5"/>
        <v>0.68948005437798354</v>
      </c>
      <c r="U99" s="33">
        <f t="shared" si="6"/>
        <v>19.473567633126358</v>
      </c>
      <c r="V99" s="68">
        <f t="shared" si="7"/>
        <v>37.942317793369874</v>
      </c>
      <c r="W99" s="33" t="str">
        <f t="shared" si="8"/>
        <v>False</v>
      </c>
    </row>
    <row r="100" spans="1:23" ht="12.75" customHeight="1" x14ac:dyDescent="0.15">
      <c r="A100" s="2"/>
      <c r="B100" s="69"/>
      <c r="C100" s="69"/>
      <c r="D100" s="69"/>
      <c r="E100" s="69"/>
      <c r="F100" s="69"/>
      <c r="G100" s="69"/>
      <c r="H100" s="69"/>
      <c r="I100" s="69"/>
      <c r="J100" s="69">
        <f t="shared" si="9"/>
        <v>55</v>
      </c>
      <c r="K100" s="33">
        <f t="shared" si="10"/>
        <v>10.116140259971225</v>
      </c>
      <c r="L100" s="33">
        <f t="shared" si="11"/>
        <v>270.84385575104454</v>
      </c>
      <c r="M100" s="33">
        <f t="shared" si="12"/>
        <v>258.86114662105126</v>
      </c>
      <c r="N100" s="33">
        <f t="shared" si="0"/>
        <v>42.254123143954558</v>
      </c>
      <c r="O100" s="33">
        <f t="shared" si="1"/>
        <v>17.176904676576253</v>
      </c>
      <c r="P100" s="33" t="str">
        <f t="shared" si="2"/>
        <v>True</v>
      </c>
      <c r="Q100" s="33">
        <f t="shared" si="3"/>
        <v>17.176904676576253</v>
      </c>
      <c r="R100" s="33">
        <f t="shared" si="13"/>
        <v>10.932955399582326</v>
      </c>
      <c r="S100" s="33">
        <f t="shared" si="4"/>
        <v>0.26408826964971599</v>
      </c>
      <c r="T100" s="33">
        <f t="shared" si="5"/>
        <v>0.69872276089500041</v>
      </c>
      <c r="U100" s="33">
        <f t="shared" si="6"/>
        <v>19.999166224686267</v>
      </c>
      <c r="V100" s="68">
        <f t="shared" si="7"/>
        <v>38.312480007955806</v>
      </c>
      <c r="W100" s="33" t="str">
        <f t="shared" si="8"/>
        <v>False</v>
      </c>
    </row>
    <row r="101" spans="1:23" ht="12.75" customHeight="1" x14ac:dyDescent="0.15">
      <c r="A101" s="1"/>
      <c r="J101" s="33">
        <f t="shared" si="9"/>
        <v>56</v>
      </c>
      <c r="K101" s="33">
        <f t="shared" si="10"/>
        <v>10.265864888907123</v>
      </c>
      <c r="L101" s="33">
        <f t="shared" si="11"/>
        <v>280.05996690954072</v>
      </c>
      <c r="M101" s="33">
        <f t="shared" si="12"/>
        <v>267.77040852813923</v>
      </c>
      <c r="N101" s="33">
        <f t="shared" si="0"/>
        <v>42.861917367697615</v>
      </c>
      <c r="O101" s="33">
        <f t="shared" si="1"/>
        <v>17.255454501745291</v>
      </c>
      <c r="P101" s="33" t="str">
        <f t="shared" si="2"/>
        <v>True</v>
      </c>
      <c r="Q101" s="33">
        <f t="shared" si="3"/>
        <v>17.255454501745291</v>
      </c>
      <c r="R101" s="33">
        <f t="shared" si="13"/>
        <v>11.222282458913089</v>
      </c>
      <c r="S101" s="33">
        <f t="shared" si="4"/>
        <v>0.26788698354811008</v>
      </c>
      <c r="T101" s="33">
        <f t="shared" si="5"/>
        <v>0.70790780418891919</v>
      </c>
      <c r="U101" s="33">
        <f t="shared" si="6"/>
        <v>20.528419271220841</v>
      </c>
      <c r="V101" s="68">
        <f t="shared" si="7"/>
        <v>38.6790209552601</v>
      </c>
      <c r="W101" s="33" t="str">
        <f t="shared" si="8"/>
        <v>False</v>
      </c>
    </row>
    <row r="102" spans="1:23" ht="12.75" customHeight="1" x14ac:dyDescent="0.15">
      <c r="A102" s="1"/>
      <c r="J102" s="33">
        <f t="shared" si="9"/>
        <v>57</v>
      </c>
      <c r="K102" s="33">
        <f t="shared" si="10"/>
        <v>10.414858288071915</v>
      </c>
      <c r="L102" s="33">
        <f t="shared" si="11"/>
        <v>289.40754927512421</v>
      </c>
      <c r="M102" s="33">
        <f t="shared" si="12"/>
        <v>276.80924307483787</v>
      </c>
      <c r="N102" s="33">
        <f t="shared" si="0"/>
        <v>43.466721785479798</v>
      </c>
      <c r="O102" s="33">
        <f t="shared" si="1"/>
        <v>17.332519975133664</v>
      </c>
      <c r="P102" s="33" t="str">
        <f t="shared" si="2"/>
        <v>True</v>
      </c>
      <c r="Q102" s="33">
        <f t="shared" si="3"/>
        <v>17.332519975133664</v>
      </c>
      <c r="R102" s="33">
        <f t="shared" si="13"/>
        <v>11.51358190425157</v>
      </c>
      <c r="S102" s="33">
        <f t="shared" si="4"/>
        <v>0.27166701115924874</v>
      </c>
      <c r="T102" s="33">
        <f t="shared" si="5"/>
        <v>0.71703660938319203</v>
      </c>
      <c r="U102" s="33">
        <f t="shared" si="6"/>
        <v>21.061280315244286</v>
      </c>
      <c r="V102" s="68">
        <f t="shared" si="7"/>
        <v>39.042043168545888</v>
      </c>
      <c r="W102" s="33" t="str">
        <f t="shared" si="8"/>
        <v>False</v>
      </c>
    </row>
    <row r="103" spans="1:23" ht="12.75" customHeight="1" x14ac:dyDescent="0.15">
      <c r="A103" s="1"/>
      <c r="J103" s="33">
        <f t="shared" si="9"/>
        <v>58</v>
      </c>
      <c r="K103" s="33">
        <f t="shared" si="10"/>
        <v>10.563137479607349</v>
      </c>
      <c r="L103" s="33">
        <f t="shared" si="11"/>
        <v>298.88596245869678</v>
      </c>
      <c r="M103" s="33">
        <f t="shared" si="12"/>
        <v>285.97703293892579</v>
      </c>
      <c r="N103" s="33">
        <f t="shared" si="0"/>
        <v>44.068605147413905</v>
      </c>
      <c r="O103" s="33">
        <f t="shared" si="1"/>
        <v>17.408155967527037</v>
      </c>
      <c r="P103" s="33" t="str">
        <f t="shared" si="2"/>
        <v>True</v>
      </c>
      <c r="Q103" s="33">
        <f t="shared" si="3"/>
        <v>17.408155967527037</v>
      </c>
      <c r="R103" s="33">
        <f t="shared" si="13"/>
        <v>11.806829136216541</v>
      </c>
      <c r="S103" s="33">
        <f t="shared" si="4"/>
        <v>0.27542878217133693</v>
      </c>
      <c r="T103" s="33">
        <f t="shared" si="5"/>
        <v>0.72611054116747575</v>
      </c>
      <c r="U103" s="33">
        <f t="shared" si="6"/>
        <v>21.597704358208976</v>
      </c>
      <c r="V103" s="68">
        <f t="shared" si="7"/>
        <v>39.401644456726537</v>
      </c>
      <c r="W103" s="33" t="str">
        <f t="shared" si="8"/>
        <v>False</v>
      </c>
    </row>
    <row r="104" spans="1:23" ht="12.75" customHeight="1" x14ac:dyDescent="0.15">
      <c r="A104" s="1"/>
      <c r="J104" s="33">
        <f t="shared" si="9"/>
        <v>59</v>
      </c>
      <c r="K104" s="33">
        <f t="shared" si="10"/>
        <v>10.710718789792603</v>
      </c>
      <c r="L104" s="33">
        <f t="shared" si="11"/>
        <v>308.49458086493496</v>
      </c>
      <c r="M104" s="33">
        <f t="shared" si="12"/>
        <v>295.27317489016713</v>
      </c>
      <c r="N104" s="33">
        <f t="shared" si="0"/>
        <v>44.667633432550645</v>
      </c>
      <c r="O104" s="33">
        <f t="shared" si="1"/>
        <v>17.482414369048911</v>
      </c>
      <c r="P104" s="33" t="str">
        <f t="shared" si="2"/>
        <v>True</v>
      </c>
      <c r="Q104" s="33">
        <f t="shared" si="3"/>
        <v>17.482414369048911</v>
      </c>
      <c r="R104" s="33">
        <f t="shared" si="13"/>
        <v>12.102000313657431</v>
      </c>
      <c r="S104" s="33">
        <f t="shared" si="4"/>
        <v>0.27917270895344154</v>
      </c>
      <c r="T104" s="33">
        <f t="shared" si="5"/>
        <v>0.73513090738736064</v>
      </c>
      <c r="U104" s="33">
        <f t="shared" si="6"/>
        <v>22.13764778856471</v>
      </c>
      <c r="V104" s="68">
        <f t="shared" si="7"/>
        <v>39.757918202696509</v>
      </c>
      <c r="W104" s="33" t="str">
        <f t="shared" si="8"/>
        <v>False</v>
      </c>
    </row>
    <row r="105" spans="1:23" ht="12.75" customHeight="1" x14ac:dyDescent="0.15">
      <c r="A105" s="2"/>
      <c r="B105" s="69"/>
      <c r="C105" s="69"/>
      <c r="D105" s="69"/>
      <c r="E105" s="69"/>
      <c r="F105" s="69"/>
      <c r="G105" s="69"/>
      <c r="H105" s="69"/>
      <c r="I105" s="69"/>
      <c r="J105" s="69">
        <f t="shared" si="9"/>
        <v>60</v>
      </c>
      <c r="K105" s="33">
        <f t="shared" si="10"/>
        <v>10.857617889248843</v>
      </c>
      <c r="L105" s="33">
        <f t="shared" si="11"/>
        <v>318.23279309307338</v>
      </c>
      <c r="M105" s="33">
        <f t="shared" si="12"/>
        <v>304.6970792248664</v>
      </c>
      <c r="N105" s="33">
        <f t="shared" si="0"/>
        <v>45.263870006659388</v>
      </c>
      <c r="O105" s="33">
        <f t="shared" si="1"/>
        <v>17.555344300858366</v>
      </c>
      <c r="P105" s="33" t="str">
        <f t="shared" si="2"/>
        <v>True</v>
      </c>
      <c r="Q105" s="33">
        <f t="shared" si="3"/>
        <v>17.555344300858366</v>
      </c>
      <c r="R105" s="33">
        <f t="shared" si="13"/>
        <v>12.399072316942133</v>
      </c>
      <c r="S105" s="33">
        <f t="shared" si="4"/>
        <v>0.28289918754162119</v>
      </c>
      <c r="T105" s="33">
        <f t="shared" si="5"/>
        <v>0.74409896236218009</v>
      </c>
      <c r="U105" s="33">
        <f t="shared" si="6"/>
        <v>22.681068314602737</v>
      </c>
      <c r="V105" s="68">
        <f t="shared" si="7"/>
        <v>40.110953637920879</v>
      </c>
      <c r="W105" s="33" t="str">
        <f t="shared" si="8"/>
        <v>False</v>
      </c>
    </row>
    <row r="106" spans="1:23" ht="12.75" customHeight="1" x14ac:dyDescent="0.15">
      <c r="A106" s="1"/>
      <c r="J106" s="33">
        <f t="shared" si="9"/>
        <v>61</v>
      </c>
      <c r="K106" s="33">
        <f t="shared" si="10"/>
        <v>11.003849830167633</v>
      </c>
      <c r="L106" s="33">
        <f t="shared" si="11"/>
        <v>328.10000137197613</v>
      </c>
      <c r="M106" s="33">
        <f t="shared" si="12"/>
        <v>314.24816923250853</v>
      </c>
      <c r="N106" s="33">
        <f t="shared" si="0"/>
        <v>45.85737576849985</v>
      </c>
      <c r="O106" s="33">
        <f t="shared" si="1"/>
        <v>17.626992308405104</v>
      </c>
      <c r="P106" s="33" t="str">
        <f t="shared" si="2"/>
        <v>True</v>
      </c>
      <c r="Q106" s="33">
        <f t="shared" si="3"/>
        <v>17.626992308405104</v>
      </c>
      <c r="R106" s="33">
        <f t="shared" si="13"/>
        <v>12.698022713643194</v>
      </c>
      <c r="S106" s="33">
        <f t="shared" si="4"/>
        <v>0.28660859855312404</v>
      </c>
      <c r="T106" s="33">
        <f t="shared" si="5"/>
        <v>0.7530159099557816</v>
      </c>
      <c r="U106" s="33">
        <f t="shared" si="6"/>
        <v>23.227924901687032</v>
      </c>
      <c r="V106" s="68">
        <f t="shared" si="7"/>
        <v>40.460836095549084</v>
      </c>
      <c r="W106" s="33" t="str">
        <f t="shared" si="8"/>
        <v>False</v>
      </c>
    </row>
    <row r="107" spans="1:23" ht="12.75" customHeight="1" x14ac:dyDescent="0.15">
      <c r="A107" s="1"/>
      <c r="J107" s="33">
        <f t="shared" si="9"/>
        <v>62</v>
      </c>
      <c r="K107" s="33">
        <f t="shared" si="10"/>
        <v>11.149429080830155</v>
      </c>
      <c r="L107" s="33">
        <f t="shared" si="11"/>
        <v>338.09562102698186</v>
      </c>
      <c r="M107" s="33">
        <f t="shared" si="12"/>
        <v>323.92588069215026</v>
      </c>
      <c r="N107" s="33">
        <f t="shared" si="0"/>
        <v>46.448209285601294</v>
      </c>
      <c r="O107" s="33">
        <f t="shared" si="1"/>
        <v>17.697402538134654</v>
      </c>
      <c r="P107" s="33" t="str">
        <f t="shared" si="2"/>
        <v>True</v>
      </c>
      <c r="Q107" s="33">
        <f t="shared" si="3"/>
        <v>17.697402538134654</v>
      </c>
      <c r="R107" s="33">
        <f t="shared" si="13"/>
        <v>12.998829726426695</v>
      </c>
      <c r="S107" s="33">
        <f t="shared" si="4"/>
        <v>0.29030130803500809</v>
      </c>
      <c r="T107" s="33">
        <f t="shared" si="5"/>
        <v>0.76188290642248468</v>
      </c>
      <c r="U107" s="33">
        <f t="shared" si="6"/>
        <v>23.778177713514875</v>
      </c>
      <c r="V107" s="68">
        <f t="shared" si="7"/>
        <v>40.807647244067049</v>
      </c>
      <c r="W107" s="33" t="str">
        <f t="shared" si="8"/>
        <v>False</v>
      </c>
    </row>
    <row r="108" spans="1:23" ht="12.75" customHeight="1" x14ac:dyDescent="0.15">
      <c r="A108" s="1"/>
      <c r="J108" s="33">
        <f t="shared" si="9"/>
        <v>63</v>
      </c>
      <c r="K108" s="33">
        <f t="shared" si="10"/>
        <v>11.294369557656029</v>
      </c>
      <c r="L108" s="33">
        <f t="shared" si="11"/>
        <v>348.21907997623299</v>
      </c>
      <c r="M108" s="33">
        <f t="shared" si="12"/>
        <v>333.72966139643506</v>
      </c>
      <c r="N108" s="33">
        <f t="shared" si="0"/>
        <v>47.036426920461835</v>
      </c>
      <c r="O108" s="33">
        <f t="shared" si="1"/>
        <v>17.766616899314272</v>
      </c>
      <c r="P108" s="33" t="str">
        <f t="shared" si="2"/>
        <v>True</v>
      </c>
      <c r="Q108" s="33">
        <f t="shared" si="3"/>
        <v>17.766616899314272</v>
      </c>
      <c r="R108" s="33">
        <f t="shared" si="13"/>
        <v>13.301472202967226</v>
      </c>
      <c r="S108" s="33">
        <f t="shared" si="4"/>
        <v>0.29397766825288646</v>
      </c>
      <c r="T108" s="33">
        <f t="shared" si="5"/>
        <v>0.77070106304812314</v>
      </c>
      <c r="U108" s="33">
        <f t="shared" si="6"/>
        <v>24.331788057083642</v>
      </c>
      <c r="V108" s="68">
        <f t="shared" si="7"/>
        <v>41.15146530328343</v>
      </c>
      <c r="W108" s="33" t="str">
        <f t="shared" si="8"/>
        <v>False</v>
      </c>
    </row>
    <row r="109" spans="1:23" ht="12.75" customHeight="1" x14ac:dyDescent="0.15">
      <c r="A109" s="1"/>
      <c r="J109" s="33">
        <f t="shared" si="9"/>
        <v>64</v>
      </c>
      <c r="K109" s="33">
        <f t="shared" si="10"/>
        <v>11.438684654996184</v>
      </c>
      <c r="L109" s="33">
        <f t="shared" si="11"/>
        <v>358.46981825439843</v>
      </c>
      <c r="M109" s="33">
        <f t="shared" si="12"/>
        <v>343.6589707012879</v>
      </c>
      <c r="N109" s="33">
        <f t="shared" si="0"/>
        <v>47.622082947986613</v>
      </c>
      <c r="O109" s="33">
        <f t="shared" si="1"/>
        <v>17.834675212456474</v>
      </c>
      <c r="P109" s="33" t="str">
        <f t="shared" ref="P109:P146" si="14">IF(P108="True", "True", IF(O109&gt;N109,"True","False"))</f>
        <v>True</v>
      </c>
      <c r="Q109" s="33">
        <f t="shared" si="3"/>
        <v>17.834675212456474</v>
      </c>
      <c r="R109" s="33">
        <f t="shared" si="13"/>
        <v>13.605929587728882</v>
      </c>
      <c r="S109" s="33">
        <f t="shared" si="4"/>
        <v>0.29763801842491633</v>
      </c>
      <c r="T109" s="33">
        <f t="shared" si="5"/>
        <v>0.77947144860400064</v>
      </c>
      <c r="U109" s="33">
        <f t="shared" si="6"/>
        <v>24.888718331071065</v>
      </c>
      <c r="V109" s="68">
        <f t="shared" si="7"/>
        <v>41.492365244252568</v>
      </c>
      <c r="W109" s="33" t="str">
        <f t="shared" si="8"/>
        <v>False</v>
      </c>
    </row>
    <row r="110" spans="1:23" ht="12.75" customHeight="1" x14ac:dyDescent="0.15">
      <c r="A110" s="2"/>
      <c r="B110" s="69"/>
      <c r="C110" s="69"/>
      <c r="D110" s="69"/>
      <c r="E110" s="69"/>
      <c r="F110" s="69"/>
      <c r="G110" s="69"/>
      <c r="H110" s="69"/>
      <c r="I110" s="69"/>
      <c r="J110" s="69">
        <f t="shared" ref="J110:J146" si="15">J109+1</f>
        <v>65</v>
      </c>
      <c r="K110" s="33">
        <f t="shared" si="10"/>
        <v>11.582387272862119</v>
      </c>
      <c r="L110" s="33">
        <f t="shared" si="11"/>
        <v>368.84728756187889</v>
      </c>
      <c r="M110" s="33">
        <f t="shared" ref="M110:M144" si="16">M109+($C$3*(K110^$C$4))</f>
        <v>353.71327909951225</v>
      </c>
      <c r="N110" s="33">
        <f t="shared" si="0"/>
        <v>48.205229664902717</v>
      </c>
      <c r="O110" s="33">
        <f t="shared" si="1"/>
        <v>17.901615345649212</v>
      </c>
      <c r="P110" s="33" t="str">
        <f t="shared" si="14"/>
        <v>True</v>
      </c>
      <c r="Q110" s="33">
        <f t="shared" si="3"/>
        <v>17.901615345649212</v>
      </c>
      <c r="R110" s="33">
        <f t="shared" si="13"/>
        <v>13.912181895467919</v>
      </c>
      <c r="S110" s="33">
        <f t="shared" si="4"/>
        <v>0.30128268540564196</v>
      </c>
      <c r="T110" s="33">
        <f t="shared" si="5"/>
        <v>0.78819509162980173</v>
      </c>
      <c r="U110" s="33">
        <f t="shared" si="6"/>
        <v>25.448931977364794</v>
      </c>
      <c r="V110" s="68">
        <f t="shared" si="7"/>
        <v>41.830418974568467</v>
      </c>
      <c r="W110" s="33" t="str">
        <f t="shared" si="8"/>
        <v>False</v>
      </c>
    </row>
    <row r="111" spans="1:23" ht="12.75" customHeight="1" x14ac:dyDescent="0.15">
      <c r="A111" s="1"/>
      <c r="J111" s="33">
        <f t="shared" si="15"/>
        <v>66</v>
      </c>
      <c r="K111" s="33">
        <f t="shared" si="10"/>
        <v>11.725489842765093</v>
      </c>
      <c r="L111" s="33">
        <f t="shared" si="11"/>
        <v>379.3509508377453</v>
      </c>
      <c r="M111" s="33">
        <f t="shared" si="16"/>
        <v>363.89206781666127</v>
      </c>
      <c r="N111" s="33">
        <f t="shared" si="0"/>
        <v>48.78591749181561</v>
      </c>
      <c r="O111" s="33">
        <f t="shared" si="1"/>
        <v>17.967473339955049</v>
      </c>
      <c r="P111" s="33" t="str">
        <f t="shared" si="14"/>
        <v>True</v>
      </c>
      <c r="Q111" s="33">
        <f t="shared" si="3"/>
        <v>17.967473339955049</v>
      </c>
      <c r="R111" s="33">
        <f t="shared" si="13"/>
        <v>14.220209686325406</v>
      </c>
      <c r="S111" s="33">
        <f t="shared" si="4"/>
        <v>0.30491198432384758</v>
      </c>
      <c r="T111" s="33">
        <f t="shared" si="5"/>
        <v>0.79687298255987049</v>
      </c>
      <c r="U111" s="33">
        <f t="shared" si="6"/>
        <v>26.012393435500545</v>
      </c>
      <c r="V111" s="68">
        <f t="shared" si="7"/>
        <v>42.165695510315373</v>
      </c>
      <c r="W111" s="33" t="str">
        <f t="shared" si="8"/>
        <v>False</v>
      </c>
    </row>
    <row r="112" spans="1:23" ht="12.75" customHeight="1" x14ac:dyDescent="0.15">
      <c r="A112" s="1"/>
      <c r="J112" s="33">
        <f t="shared" si="15"/>
        <v>67</v>
      </c>
      <c r="K112" s="33">
        <f t="shared" si="10"/>
        <v>11.868004351821476</v>
      </c>
      <c r="L112" s="33">
        <f t="shared" si="11"/>
        <v>389.98028185480814</v>
      </c>
      <c r="M112" s="33">
        <f t="shared" si="16"/>
        <v>374.19482842768895</v>
      </c>
      <c r="N112" s="33">
        <f t="shared" si="0"/>
        <v>49.364195068507364</v>
      </c>
      <c r="O112" s="33">
        <f t="shared" si="1"/>
        <v>18.032283524913353</v>
      </c>
      <c r="P112" s="33" t="str">
        <f t="shared" si="14"/>
        <v>True</v>
      </c>
      <c r="Q112" s="33">
        <f t="shared" si="3"/>
        <v>18.032283524913353</v>
      </c>
      <c r="R112" s="33">
        <f t="shared" si="13"/>
        <v>14.529994042390525</v>
      </c>
      <c r="S112" s="33">
        <f t="shared" si="4"/>
        <v>0.30852621917817102</v>
      </c>
      <c r="T112" s="33">
        <f t="shared" si="5"/>
        <v>0.8055060757058643</v>
      </c>
      <c r="U112" s="33">
        <f t="shared" si="6"/>
        <v>26.579068099790348</v>
      </c>
      <c r="V112" s="68">
        <f t="shared" si="7"/>
        <v>42.498261135828791</v>
      </c>
      <c r="W112" s="33" t="str">
        <f t="shared" si="8"/>
        <v>False</v>
      </c>
    </row>
    <row r="113" spans="1:23" ht="12.75" customHeight="1" x14ac:dyDescent="0.15">
      <c r="A113" s="1"/>
      <c r="J113" s="33">
        <f t="shared" si="15"/>
        <v>68</v>
      </c>
      <c r="K113" s="33">
        <f t="shared" si="10"/>
        <v>12.009942365265362</v>
      </c>
      <c r="L113" s="33">
        <f t="shared" si="11"/>
        <v>400.73476483534483</v>
      </c>
      <c r="M113" s="33">
        <f t="shared" si="16"/>
        <v>384.62106249300894</v>
      </c>
      <c r="N113" s="33">
        <f t="shared" si="0"/>
        <v>49.940109343019834</v>
      </c>
      <c r="O113" s="33">
        <f t="shared" si="1"/>
        <v>18.09607862506752</v>
      </c>
      <c r="P113" s="33" t="str">
        <f t="shared" si="14"/>
        <v>True</v>
      </c>
      <c r="Q113" s="33">
        <f t="shared" si="3"/>
        <v>18.09607862506752</v>
      </c>
      <c r="R113" s="33">
        <f t="shared" si="13"/>
        <v>14.841516545626069</v>
      </c>
      <c r="S113" s="33">
        <f t="shared" si="4"/>
        <v>0.31212568339387398</v>
      </c>
      <c r="T113" s="33">
        <f t="shared" si="5"/>
        <v>0.81409529110753087</v>
      </c>
      <c r="U113" s="33">
        <f t="shared" si="6"/>
        <v>27.148922278942678</v>
      </c>
      <c r="V113" s="68">
        <f t="shared" si="7"/>
        <v>42.828179552305322</v>
      </c>
      <c r="W113" s="33" t="str">
        <f t="shared" si="8"/>
        <v>False</v>
      </c>
    </row>
    <row r="114" spans="1:23" ht="12.75" customHeight="1" x14ac:dyDescent="0.15">
      <c r="A114" s="1"/>
      <c r="J114" s="33">
        <f t="shared" si="15"/>
        <v>69</v>
      </c>
      <c r="K114" s="33">
        <f t="shared" si="10"/>
        <v>12.151315047496409</v>
      </c>
      <c r="L114" s="33">
        <f t="shared" si="11"/>
        <v>411.61389408613138</v>
      </c>
      <c r="M114" s="33">
        <f t="shared" si="16"/>
        <v>395.17028121269931</v>
      </c>
      <c r="N114" s="33">
        <f t="shared" si="0"/>
        <v>50.513705655015087</v>
      </c>
      <c r="O114" s="33">
        <f t="shared" si="1"/>
        <v>18.158889858340416</v>
      </c>
      <c r="P114" s="33" t="str">
        <f t="shared" si="14"/>
        <v>True</v>
      </c>
      <c r="Q114" s="33">
        <f t="shared" si="3"/>
        <v>18.158889858340416</v>
      </c>
      <c r="R114" s="33">
        <f t="shared" si="13"/>
        <v>15.154759257056689</v>
      </c>
      <c r="S114" s="33">
        <f t="shared" si="4"/>
        <v>0.31571066034384432</v>
      </c>
      <c r="T114" s="33">
        <f t="shared" si="5"/>
        <v>0.82264151626222171</v>
      </c>
      <c r="U114" s="33">
        <f t="shared" si="6"/>
        <v>27.721923157992432</v>
      </c>
      <c r="V114" s="68">
        <f t="shared" si="7"/>
        <v>43.155512016196845</v>
      </c>
      <c r="W114" s="33" t="str">
        <f t="shared" si="8"/>
        <v>False</v>
      </c>
    </row>
    <row r="115" spans="1:23" ht="12.75" customHeight="1" x14ac:dyDescent="0.15">
      <c r="A115" s="2"/>
      <c r="B115" s="69"/>
      <c r="C115" s="69"/>
      <c r="D115" s="69"/>
      <c r="E115" s="69"/>
      <c r="F115" s="69"/>
      <c r="G115" s="69"/>
      <c r="H115" s="69"/>
      <c r="I115" s="69"/>
      <c r="J115" s="69">
        <f t="shared" si="15"/>
        <v>70</v>
      </c>
      <c r="K115" s="33">
        <f t="shared" si="10"/>
        <v>12.292133181778372</v>
      </c>
      <c r="L115" s="33">
        <f t="shared" si="11"/>
        <v>422.61717365153436</v>
      </c>
      <c r="M115" s="33">
        <f t="shared" si="16"/>
        <v>405.84200509769033</v>
      </c>
      <c r="N115" s="33">
        <f t="shared" si="0"/>
        <v>51.08502781385905</v>
      </c>
      <c r="O115" s="33">
        <f t="shared" si="1"/>
        <v>18.22074702699468</v>
      </c>
      <c r="P115" s="33" t="str">
        <f t="shared" si="14"/>
        <v>True</v>
      </c>
      <c r="Q115" s="33">
        <f t="shared" si="3"/>
        <v>18.22074702699468</v>
      </c>
      <c r="R115" s="33">
        <f t="shared" si="13"/>
        <v>15.469704697129769</v>
      </c>
      <c r="S115" s="33">
        <f t="shared" si="4"/>
        <v>0.31928142383661906</v>
      </c>
      <c r="T115" s="33">
        <f t="shared" si="5"/>
        <v>0.83114560774277135</v>
      </c>
      <c r="U115" s="33">
        <f t="shared" si="6"/>
        <v>28.298038762375956</v>
      </c>
      <c r="V115" s="68">
        <f t="shared" si="7"/>
        <v>43.480317468232883</v>
      </c>
      <c r="W115" s="33" t="str">
        <f t="shared" si="8"/>
        <v>False</v>
      </c>
    </row>
    <row r="116" spans="1:23" ht="12.75" customHeight="1" x14ac:dyDescent="0.15">
      <c r="A116" s="1"/>
      <c r="J116" s="33">
        <f t="shared" si="15"/>
        <v>71</v>
      </c>
      <c r="K116" s="33">
        <f t="shared" si="10"/>
        <v>12.432407188693642</v>
      </c>
      <c r="L116" s="33">
        <f t="shared" si="11"/>
        <v>433.74411698351372</v>
      </c>
      <c r="M116" s="33">
        <f t="shared" si="16"/>
        <v>416.63576365686328</v>
      </c>
      <c r="N116" s="33">
        <f t="shared" si="0"/>
        <v>51.654118171834291</v>
      </c>
      <c r="O116" s="33">
        <f t="shared" si="1"/>
        <v>18.281678601838003</v>
      </c>
      <c r="P116" s="33" t="str">
        <f t="shared" si="14"/>
        <v>True</v>
      </c>
      <c r="Q116" s="33">
        <f t="shared" si="3"/>
        <v>18.281678601838003</v>
      </c>
      <c r="R116" s="33">
        <f t="shared" si="13"/>
        <v>15.786335827165805</v>
      </c>
      <c r="S116" s="33">
        <f t="shared" si="4"/>
        <v>0.32283823857396432</v>
      </c>
      <c r="T116" s="33">
        <f t="shared" si="5"/>
        <v>0.83960839271246201</v>
      </c>
      <c r="U116" s="33">
        <f t="shared" si="6"/>
        <v>28.877237923999068</v>
      </c>
      <c r="V116" s="68">
        <f t="shared" si="7"/>
        <v>43.802652653834443</v>
      </c>
      <c r="W116" s="33" t="str">
        <f t="shared" si="8"/>
        <v>False</v>
      </c>
    </row>
    <row r="117" spans="1:23" ht="12.75" customHeight="1" x14ac:dyDescent="0.15">
      <c r="A117" s="1"/>
      <c r="J117" s="33">
        <f t="shared" si="15"/>
        <v>72</v>
      </c>
      <c r="K117" s="33">
        <f t="shared" si="10"/>
        <v>12.572147143448966</v>
      </c>
      <c r="L117" s="33">
        <f t="shared" si="11"/>
        <v>444.99424662747805</v>
      </c>
      <c r="M117" s="33">
        <f t="shared" si="16"/>
        <v>427.55109509907049</v>
      </c>
      <c r="N117" s="33">
        <f t="shared" si="0"/>
        <v>52.221017692851184</v>
      </c>
      <c r="O117" s="33">
        <f t="shared" si="1"/>
        <v>18.34171180026603</v>
      </c>
      <c r="P117" s="33" t="str">
        <f t="shared" si="14"/>
        <v>True</v>
      </c>
      <c r="Q117" s="33">
        <f t="shared" si="3"/>
        <v>18.34171180026603</v>
      </c>
      <c r="R117" s="33">
        <f t="shared" si="13"/>
        <v>16.104636031822967</v>
      </c>
      <c r="S117" s="33">
        <f t="shared" si="4"/>
        <v>0.32638136058031991</v>
      </c>
      <c r="T117" s="33">
        <f t="shared" si="5"/>
        <v>0.84803067034501811</v>
      </c>
      <c r="U117" s="33">
        <f t="shared" si="6"/>
        <v>29.45949024916024</v>
      </c>
      <c r="V117" s="68">
        <f t="shared" si="7"/>
        <v>44.122572235610114</v>
      </c>
      <c r="W117" s="33" t="str">
        <f t="shared" si="8"/>
        <v>False</v>
      </c>
    </row>
    <row r="118" spans="1:23" ht="12.75" customHeight="1" x14ac:dyDescent="0.15">
      <c r="A118" s="1"/>
      <c r="J118" s="33">
        <f t="shared" si="15"/>
        <v>73</v>
      </c>
      <c r="K118" s="33">
        <f t="shared" si="10"/>
        <v>12.711362792119518</v>
      </c>
      <c r="L118" s="33">
        <f t="shared" si="11"/>
        <v>456.36709392301299</v>
      </c>
      <c r="M118" s="33">
        <f t="shared" si="16"/>
        <v>438.58754604916169</v>
      </c>
      <c r="N118" s="33">
        <f t="shared" si="0"/>
        <v>52.785766016993421</v>
      </c>
      <c r="O118" s="33">
        <f t="shared" si="1"/>
        <v>18.400872658675777</v>
      </c>
      <c r="P118" s="33" t="str">
        <f t="shared" si="14"/>
        <v>True</v>
      </c>
      <c r="Q118" s="33">
        <f t="shared" si="3"/>
        <v>18.400872658675777</v>
      </c>
      <c r="R118" s="33">
        <f t="shared" si="13"/>
        <v>16.42458910250603</v>
      </c>
      <c r="S118" s="33">
        <f t="shared" si="4"/>
        <v>0.32991103760620888</v>
      </c>
      <c r="T118" s="33">
        <f t="shared" si="5"/>
        <v>0.85641321315683405</v>
      </c>
      <c r="U118" s="33">
        <f t="shared" si="6"/>
        <v>30.044766088201332</v>
      </c>
      <c r="V118" s="68">
        <f t="shared" si="7"/>
        <v>44.440128898560488</v>
      </c>
      <c r="W118" s="33" t="str">
        <f t="shared" si="8"/>
        <v>False</v>
      </c>
    </row>
    <row r="119" spans="1:23" ht="12.75" customHeight="1" x14ac:dyDescent="0.15">
      <c r="A119" s="1"/>
      <c r="J119" s="33">
        <f t="shared" si="15"/>
        <v>74</v>
      </c>
      <c r="K119" s="33">
        <f t="shared" si="10"/>
        <v>12.850063566910297</v>
      </c>
      <c r="L119" s="33">
        <f t="shared" si="11"/>
        <v>467.86219871857804</v>
      </c>
      <c r="M119" s="33">
        <f t="shared" si="16"/>
        <v>449.74467127716952</v>
      </c>
      <c r="N119" s="33">
        <f t="shared" si="0"/>
        <v>53.348401521205211</v>
      </c>
      <c r="O119" s="33">
        <f t="shared" si="1"/>
        <v>18.459186099729514</v>
      </c>
      <c r="P119" s="33" t="str">
        <f t="shared" si="14"/>
        <v>True</v>
      </c>
      <c r="Q119" s="33">
        <f t="shared" si="3"/>
        <v>18.459186099729514</v>
      </c>
      <c r="R119" s="33">
        <f t="shared" si="13"/>
        <v>16.746179221656053</v>
      </c>
      <c r="S119" s="33">
        <f t="shared" si="4"/>
        <v>0.33342750950753258</v>
      </c>
      <c r="T119" s="33">
        <f t="shared" si="5"/>
        <v>0.86475676825801862</v>
      </c>
      <c r="U119" s="33">
        <f t="shared" si="6"/>
        <v>30.633036506769372</v>
      </c>
      <c r="V119" s="68">
        <f t="shared" si="7"/>
        <v>44.755373448559816</v>
      </c>
      <c r="W119" s="33" t="str">
        <f t="shared" si="8"/>
        <v>False</v>
      </c>
    </row>
    <row r="120" spans="1:23" ht="12.75" customHeight="1" x14ac:dyDescent="0.15">
      <c r="A120" s="2"/>
      <c r="B120" s="69"/>
      <c r="C120" s="69"/>
      <c r="D120" s="69"/>
      <c r="E120" s="69"/>
      <c r="F120" s="69"/>
      <c r="G120" s="69"/>
      <c r="H120" s="69"/>
      <c r="I120" s="69"/>
      <c r="J120" s="69">
        <f t="shared" si="15"/>
        <v>75</v>
      </c>
      <c r="K120" s="33">
        <f t="shared" si="10"/>
        <v>12.988258600507139</v>
      </c>
      <c r="L120" s="33">
        <f t="shared" si="11"/>
        <v>479.47910909933273</v>
      </c>
      <c r="M120" s="33">
        <f t="shared" si="16"/>
        <v>461.02203343987014</v>
      </c>
      <c r="N120" s="33">
        <f t="shared" si="0"/>
        <v>53.908961376400399</v>
      </c>
      <c r="O120" s="33">
        <f t="shared" si="1"/>
        <v>18.516675994901988</v>
      </c>
      <c r="P120" s="33" t="str">
        <f t="shared" si="14"/>
        <v>True</v>
      </c>
      <c r="Q120" s="33">
        <f t="shared" si="3"/>
        <v>18.516675994901988</v>
      </c>
      <c r="R120" s="33">
        <f t="shared" si="13"/>
        <v>17.069390947862242</v>
      </c>
      <c r="S120" s="33">
        <f t="shared" si="4"/>
        <v>0.33693100860250247</v>
      </c>
      <c r="T120" s="33">
        <f t="shared" si="5"/>
        <v>0.87306205852825169</v>
      </c>
      <c r="U120" s="33">
        <f t="shared" si="6"/>
        <v>31.224273258582357</v>
      </c>
      <c r="V120" s="68">
        <f t="shared" si="7"/>
        <v>45.068354904631803</v>
      </c>
      <c r="W120" s="33" t="str">
        <f t="shared" si="8"/>
        <v>False</v>
      </c>
    </row>
    <row r="121" spans="1:23" ht="12.75" customHeight="1" x14ac:dyDescent="0.15">
      <c r="A121" s="1"/>
      <c r="J121" s="33">
        <f t="shared" si="15"/>
        <v>76</v>
      </c>
      <c r="K121" s="33">
        <f t="shared" si="10"/>
        <v>13.125956739583508</v>
      </c>
      <c r="L121" s="33">
        <f t="shared" si="11"/>
        <v>491.21738112731589</v>
      </c>
      <c r="M121" s="33">
        <f t="shared" si="16"/>
        <v>472.41920283399082</v>
      </c>
      <c r="N121" s="33">
        <f t="shared" si="0"/>
        <v>54.467481601249744</v>
      </c>
      <c r="O121" s="33">
        <f t="shared" si="1"/>
        <v>18.573365222702058</v>
      </c>
      <c r="P121" s="33" t="str">
        <f t="shared" si="14"/>
        <v>True</v>
      </c>
      <c r="Q121" s="33">
        <f t="shared" si="3"/>
        <v>18.573365222702058</v>
      </c>
      <c r="R121" s="33">
        <f t="shared" si="13"/>
        <v>17.394209201741898</v>
      </c>
      <c r="S121" s="33">
        <f t="shared" si="4"/>
        <v>0.34042176000781088</v>
      </c>
      <c r="T121" s="33">
        <f t="shared" si="5"/>
        <v>0.8813297837229338</v>
      </c>
      <c r="U121" s="33">
        <f t="shared" si="6"/>
        <v>31.818448759600116</v>
      </c>
      <c r="V121" s="68">
        <f t="shared" si="7"/>
        <v>45.379120585490064</v>
      </c>
      <c r="W121" s="33" t="str">
        <f t="shared" si="8"/>
        <v>False</v>
      </c>
    </row>
    <row r="122" spans="1:23" ht="12.75" customHeight="1" x14ac:dyDescent="0.15">
      <c r="A122" s="1"/>
      <c r="J122" s="33">
        <f t="shared" si="15"/>
        <v>77</v>
      </c>
      <c r="K122" s="33">
        <f t="shared" si="10"/>
        <v>13.263166557523329</v>
      </c>
      <c r="L122" s="33">
        <f t="shared" si="11"/>
        <v>503.07657859325604</v>
      </c>
      <c r="M122" s="33">
        <f t="shared" si="16"/>
        <v>483.93575716038919</v>
      </c>
      <c r="N122" s="33">
        <f t="shared" si="0"/>
        <v>55.023997112881908</v>
      </c>
      <c r="O122" s="33">
        <f t="shared" si="1"/>
        <v>18.629275722922571</v>
      </c>
      <c r="P122" s="33" t="str">
        <f t="shared" si="14"/>
        <v>True</v>
      </c>
      <c r="Q122" s="33">
        <f t="shared" si="3"/>
        <v>18.629275722922571</v>
      </c>
      <c r="R122" s="33">
        <f t="shared" si="13"/>
        <v>17.720619252538853</v>
      </c>
      <c r="S122" s="33">
        <f t="shared" si="4"/>
        <v>0.34389998195551191</v>
      </c>
      <c r="T122" s="33">
        <f t="shared" si="5"/>
        <v>0.88956062151463988</v>
      </c>
      <c r="U122" s="33">
        <f t="shared" si="6"/>
        <v>32.415536063509357</v>
      </c>
      <c r="V122" s="68">
        <f t="shared" si="7"/>
        <v>45.687716190772839</v>
      </c>
      <c r="W122" s="33" t="str">
        <f t="shared" si="8"/>
        <v>False</v>
      </c>
    </row>
    <row r="123" spans="1:23" ht="12.75" customHeight="1" x14ac:dyDescent="0.15">
      <c r="A123" s="1"/>
      <c r="J123" s="33">
        <f t="shared" si="15"/>
        <v>78</v>
      </c>
      <c r="K123" s="33">
        <f t="shared" si="10"/>
        <v>13.399896366415268</v>
      </c>
      <c r="L123" s="33">
        <f t="shared" si="11"/>
        <v>515.05627277934332</v>
      </c>
      <c r="M123" s="33">
        <f t="shared" si="16"/>
        <v>495.5712812985758</v>
      </c>
      <c r="N123" s="33">
        <f t="shared" si="0"/>
        <v>55.578541774713116</v>
      </c>
      <c r="O123" s="33">
        <f t="shared" si="1"/>
        <v>18.684428547238866</v>
      </c>
      <c r="P123" s="33" t="str">
        <f t="shared" si="14"/>
        <v>True</v>
      </c>
      <c r="Q123" s="33">
        <f t="shared" si="3"/>
        <v>18.684428547238866</v>
      </c>
      <c r="R123" s="33">
        <f t="shared" si="13"/>
        <v>18.048606705394498</v>
      </c>
      <c r="S123" s="33">
        <f t="shared" si="4"/>
        <v>0.34736588609195695</v>
      </c>
      <c r="T123" s="33">
        <f t="shared" si="5"/>
        <v>0.89775522847447131</v>
      </c>
      <c r="U123" s="33">
        <f t="shared" si="6"/>
        <v>33.015508838439189</v>
      </c>
      <c r="V123" s="68">
        <f t="shared" si="7"/>
        <v>45.994185877363307</v>
      </c>
      <c r="W123" s="33" t="str">
        <f t="shared" si="8"/>
        <v>False</v>
      </c>
    </row>
    <row r="124" spans="1:23" ht="12.75" customHeight="1" x14ac:dyDescent="0.15">
      <c r="A124" s="1"/>
      <c r="J124" s="33">
        <f t="shared" si="15"/>
        <v>79</v>
      </c>
      <c r="K124" s="33">
        <f t="shared" si="10"/>
        <v>13.536154228369263</v>
      </c>
      <c r="L124" s="33">
        <f t="shared" si="11"/>
        <v>527.15604223233959</v>
      </c>
      <c r="M124" s="33">
        <f t="shared" si="16"/>
        <v>507.32536709099651</v>
      </c>
      <c r="N124" s="33">
        <f t="shared" si="0"/>
        <v>56.131148441603514</v>
      </c>
      <c r="O124" s="33">
        <f t="shared" si="1"/>
        <v>18.738843906446792</v>
      </c>
      <c r="P124" s="33" t="str">
        <f t="shared" si="14"/>
        <v>True</v>
      </c>
      <c r="Q124" s="33">
        <f t="shared" si="3"/>
        <v>18.738843906446792</v>
      </c>
      <c r="R124" s="33">
        <f t="shared" si="13"/>
        <v>18.378157489249073</v>
      </c>
      <c r="S124" s="33">
        <f t="shared" si="4"/>
        <v>0.35081967776002199</v>
      </c>
      <c r="T124" s="33">
        <f t="shared" si="5"/>
        <v>0.90591424099751228</v>
      </c>
      <c r="U124" s="33">
        <f t="shared" si="6"/>
        <v>33.61834134482946</v>
      </c>
      <c r="V124" s="68">
        <f t="shared" si="7"/>
        <v>46.298572331153721</v>
      </c>
      <c r="W124" s="33" t="str">
        <f t="shared" si="8"/>
        <v>False</v>
      </c>
    </row>
    <row r="125" spans="1:23" ht="12.75" customHeight="1" x14ac:dyDescent="0.15">
      <c r="A125" s="2"/>
      <c r="B125" s="69"/>
      <c r="C125" s="69"/>
      <c r="D125" s="69"/>
      <c r="E125" s="69"/>
      <c r="F125" s="69"/>
      <c r="G125" s="69"/>
      <c r="H125" s="69"/>
      <c r="I125" s="69"/>
      <c r="J125" s="69">
        <f t="shared" si="15"/>
        <v>80</v>
      </c>
      <c r="K125" s="33">
        <f t="shared" si="10"/>
        <v>13.67194796620185</v>
      </c>
      <c r="L125" s="33">
        <f t="shared" si="11"/>
        <v>539.37547254644744</v>
      </c>
      <c r="M125" s="33">
        <f t="shared" si="16"/>
        <v>519.19761313652975</v>
      </c>
      <c r="N125" s="33">
        <f t="shared" si="0"/>
        <v>56.681849002522007</v>
      </c>
      <c r="O125" s="33">
        <f t="shared" si="1"/>
        <v>18.792541214604224</v>
      </c>
      <c r="P125" s="33" t="str">
        <f t="shared" si="14"/>
        <v>True</v>
      </c>
      <c r="Q125" s="33">
        <f t="shared" si="3"/>
        <v>18.792541214604224</v>
      </c>
      <c r="R125" s="33">
        <f t="shared" si="13"/>
        <v>18.709257845333923</v>
      </c>
      <c r="S125" s="33">
        <f t="shared" si="4"/>
        <v>0.35426155626576256</v>
      </c>
      <c r="T125" s="33">
        <f t="shared" si="5"/>
        <v>0.91403827617625333</v>
      </c>
      <c r="U125" s="33">
        <f t="shared" si="6"/>
        <v>34.224008414380179</v>
      </c>
      <c r="V125" s="68">
        <f t="shared" si="7"/>
        <v>46.600916834581056</v>
      </c>
      <c r="W125" s="33" t="str">
        <f t="shared" si="8"/>
        <v>False</v>
      </c>
    </row>
    <row r="126" spans="1:23" ht="12.75" customHeight="1" x14ac:dyDescent="0.15">
      <c r="A126" s="1"/>
      <c r="J126" s="33">
        <f t="shared" si="15"/>
        <v>81</v>
      </c>
      <c r="K126" s="33">
        <f t="shared" si="10"/>
        <v>13.807285173533197</v>
      </c>
      <c r="L126" s="33">
        <f t="shared" si="11"/>
        <v>551.71415615539684</v>
      </c>
      <c r="M126" s="33">
        <f t="shared" si="16"/>
        <v>531.18762459269203</v>
      </c>
      <c r="N126" s="33">
        <f t="shared" si="0"/>
        <v>57.230674420887048</v>
      </c>
      <c r="O126" s="33">
        <f t="shared" si="1"/>
        <v>18.845539130316389</v>
      </c>
      <c r="P126" s="33" t="str">
        <f t="shared" si="14"/>
        <v>True</v>
      </c>
      <c r="Q126" s="33">
        <f t="shared" si="3"/>
        <v>18.845539130316389</v>
      </c>
      <c r="R126" s="33">
        <f t="shared" si="13"/>
        <v>19.041894316218638</v>
      </c>
      <c r="S126" s="33">
        <f t="shared" si="4"/>
        <v>0.35769171513054404</v>
      </c>
      <c r="T126" s="33">
        <f t="shared" si="5"/>
        <v>0.92212793262553783</v>
      </c>
      <c r="U126" s="33">
        <f t="shared" si="6"/>
        <v>34.832485430015915</v>
      </c>
      <c r="V126" s="68">
        <f t="shared" si="7"/>
        <v>46.901259330234325</v>
      </c>
      <c r="W126" s="33" t="str">
        <f t="shared" si="8"/>
        <v>False</v>
      </c>
    </row>
    <row r="127" spans="1:23" ht="12.75" customHeight="1" x14ac:dyDescent="0.15">
      <c r="A127" s="1"/>
      <c r="J127" s="33">
        <f t="shared" si="15"/>
        <v>82</v>
      </c>
      <c r="K127" s="33">
        <f t="shared" si="10"/>
        <v>13.942173224335191</v>
      </c>
      <c r="L127" s="33">
        <f t="shared" si="11"/>
        <v>564.17169213324587</v>
      </c>
      <c r="M127" s="33">
        <f t="shared" si="16"/>
        <v>543.29501298607886</v>
      </c>
      <c r="N127" s="33">
        <f t="shared" si="0"/>
        <v>57.777654772737279</v>
      </c>
      <c r="O127" s="33">
        <f t="shared" si="1"/>
        <v>18.897855595383721</v>
      </c>
      <c r="P127" s="33" t="str">
        <f t="shared" si="14"/>
        <v>True</v>
      </c>
      <c r="Q127" s="33">
        <f t="shared" si="3"/>
        <v>18.897855595383721</v>
      </c>
      <c r="R127" s="33">
        <f t="shared" si="13"/>
        <v>19.376053735379493</v>
      </c>
      <c r="S127" s="33">
        <f t="shared" si="4"/>
        <v>0.36111034232960798</v>
      </c>
      <c r="T127" s="33">
        <f t="shared" si="5"/>
        <v>0.93018379126229589</v>
      </c>
      <c r="U127" s="33">
        <f t="shared" si="6"/>
        <v>35.443748306803819</v>
      </c>
      <c r="V127" s="68">
        <f t="shared" si="7"/>
        <v>47.199638480808943</v>
      </c>
      <c r="W127" s="33" t="str">
        <f t="shared" si="8"/>
        <v>False</v>
      </c>
    </row>
    <row r="128" spans="1:23" ht="12.75" customHeight="1" x14ac:dyDescent="0.15">
      <c r="A128" s="1"/>
      <c r="J128" s="33">
        <f t="shared" si="15"/>
        <v>83</v>
      </c>
      <c r="K128" s="33">
        <f t="shared" si="10"/>
        <v>14.076619281967067</v>
      </c>
      <c r="L128" s="33">
        <f t="shared" si="11"/>
        <v>576.74768600342543</v>
      </c>
      <c r="M128" s="33">
        <f t="shared" si="16"/>
        <v>555.51939603059839</v>
      </c>
      <c r="N128" s="33">
        <f t="shared" si="0"/>
        <v>58.322819282874157</v>
      </c>
      <c r="O128" s="33">
        <f t="shared" si="1"/>
        <v>18.949507871011747</v>
      </c>
      <c r="P128" s="33" t="str">
        <f t="shared" si="14"/>
        <v>True</v>
      </c>
      <c r="Q128" s="33">
        <f t="shared" si="3"/>
        <v>18.949507871011747</v>
      </c>
      <c r="R128" s="33">
        <f t="shared" si="13"/>
        <v>19.711723217257802</v>
      </c>
      <c r="S128" s="33">
        <f t="shared" si="4"/>
        <v>0.36451762051796349</v>
      </c>
      <c r="T128" s="33">
        <f t="shared" si="5"/>
        <v>0.93820641604307253</v>
      </c>
      <c r="U128" s="33">
        <f t="shared" si="6"/>
        <v>36.057773473767824</v>
      </c>
      <c r="V128" s="68">
        <f t="shared" si="7"/>
        <v>47.496091725660797</v>
      </c>
      <c r="W128" s="33" t="str">
        <f t="shared" si="8"/>
        <v>False</v>
      </c>
    </row>
    <row r="129" spans="1:23" ht="12.75" customHeight="1" x14ac:dyDescent="0.15">
      <c r="A129" s="1"/>
      <c r="J129" s="33">
        <f t="shared" si="15"/>
        <v>84</v>
      </c>
      <c r="K129" s="33">
        <f t="shared" si="10"/>
        <v>14.210630307731936</v>
      </c>
      <c r="L129" s="33">
        <f t="shared" si="11"/>
        <v>589.4417495555881</v>
      </c>
      <c r="M129" s="33">
        <f t="shared" si="16"/>
        <v>567.86039745308551</v>
      </c>
      <c r="N129" s="33">
        <f t="shared" si="0"/>
        <v>58.866196359108244</v>
      </c>
      <c r="O129" s="33">
        <f t="shared" si="1"/>
        <v>19.000512571765121</v>
      </c>
      <c r="P129" s="33" t="str">
        <f t="shared" si="14"/>
        <v>True</v>
      </c>
      <c r="Q129" s="33">
        <f t="shared" si="3"/>
        <v>19.000512571765121</v>
      </c>
      <c r="R129" s="33">
        <f t="shared" si="13"/>
        <v>20.048890147779577</v>
      </c>
      <c r="S129" s="33">
        <f t="shared" si="4"/>
        <v>0.3679137272444265</v>
      </c>
      <c r="T129" s="33">
        <f t="shared" si="5"/>
        <v>0.94619635466212904</v>
      </c>
      <c r="U129" s="33">
        <f t="shared" si="6"/>
        <v>36.674537856546685</v>
      </c>
      <c r="V129" s="68">
        <f t="shared" si="7"/>
        <v>47.790655334192991</v>
      </c>
      <c r="W129" s="33" t="str">
        <f t="shared" si="8"/>
        <v>False</v>
      </c>
    </row>
    <row r="130" spans="1:23" ht="12.75" customHeight="1" x14ac:dyDescent="0.15">
      <c r="A130" s="2"/>
      <c r="B130" s="69"/>
      <c r="C130" s="69"/>
      <c r="D130" s="69"/>
      <c r="E130" s="69"/>
      <c r="F130" s="69"/>
      <c r="G130" s="69"/>
      <c r="H130" s="69"/>
      <c r="I130" s="69"/>
      <c r="J130" s="69">
        <f t="shared" si="15"/>
        <v>85</v>
      </c>
      <c r="K130" s="33">
        <f t="shared" si="10"/>
        <v>14.344213068985209</v>
      </c>
      <c r="L130" s="33">
        <f t="shared" si="11"/>
        <v>602.25350066985038</v>
      </c>
      <c r="M130" s="33">
        <f t="shared" si="16"/>
        <v>580.31764682590972</v>
      </c>
      <c r="N130" s="33">
        <f t="shared" si="0"/>
        <v>59.407813624729684</v>
      </c>
      <c r="O130" s="33">
        <f t="shared" si="1"/>
        <v>19.050885697432253</v>
      </c>
      <c r="P130" s="33" t="str">
        <f t="shared" si="14"/>
        <v>True</v>
      </c>
      <c r="Q130" s="33">
        <f t="shared" si="3"/>
        <v>19.050885697432253</v>
      </c>
      <c r="R130" s="33">
        <f t="shared" si="13"/>
        <v>20.387542175309378</v>
      </c>
      <c r="S130" s="33">
        <f t="shared" si="4"/>
        <v>0.37129883515456052</v>
      </c>
      <c r="T130" s="33">
        <f t="shared" si="5"/>
        <v>0.954154139212675</v>
      </c>
      <c r="U130" s="33">
        <f t="shared" si="6"/>
        <v>37.294018860846244</v>
      </c>
      <c r="V130" s="68">
        <f t="shared" si="7"/>
        <v>48.083364456288571</v>
      </c>
      <c r="W130" s="33" t="str">
        <f t="shared" si="8"/>
        <v>False</v>
      </c>
    </row>
    <row r="131" spans="1:23" ht="12.75" customHeight="1" x14ac:dyDescent="0.15">
      <c r="A131" s="1"/>
      <c r="J131" s="33">
        <f t="shared" si="15"/>
        <v>86</v>
      </c>
      <c r="K131" s="33">
        <f t="shared" si="10"/>
        <v>14.477374146823546</v>
      </c>
      <c r="L131" s="33">
        <f t="shared" si="11"/>
        <v>615.18256314804262</v>
      </c>
      <c r="M131" s="33">
        <f t="shared" si="16"/>
        <v>592.89077940621542</v>
      </c>
      <c r="N131" s="33">
        <f t="shared" si="0"/>
        <v>59.947697949315469</v>
      </c>
      <c r="O131" s="33">
        <f t="shared" si="1"/>
        <v>19.100642662952783</v>
      </c>
      <c r="P131" s="33" t="str">
        <f t="shared" si="14"/>
        <v>True</v>
      </c>
      <c r="Q131" s="33">
        <f t="shared" si="3"/>
        <v>19.100642662952783</v>
      </c>
      <c r="R131" s="33">
        <f t="shared" si="13"/>
        <v>20.727667202013574</v>
      </c>
      <c r="S131" s="33">
        <f t="shared" si="4"/>
        <v>0.37467311218322169</v>
      </c>
      <c r="T131" s="33">
        <f t="shared" si="5"/>
        <v>0.96208028681359914</v>
      </c>
      <c r="U131" s="33">
        <f t="shared" si="6"/>
        <v>37.916194356640638</v>
      </c>
      <c r="V131" s="68">
        <f t="shared" si="7"/>
        <v>48.374253169986652</v>
      </c>
      <c r="W131" s="33" t="str">
        <f t="shared" si="8"/>
        <v>False</v>
      </c>
    </row>
    <row r="132" spans="1:23" ht="12.75" customHeight="1" x14ac:dyDescent="0.15">
      <c r="A132" s="1"/>
      <c r="J132" s="33">
        <f t="shared" si="15"/>
        <v>87</v>
      </c>
      <c r="K132" s="33">
        <f t="shared" si="10"/>
        <v>14.610119943380759</v>
      </c>
      <c r="L132" s="33">
        <f t="shared" si="11"/>
        <v>628.22856655160967</v>
      </c>
      <c r="M132" s="33">
        <f t="shared" si="16"/>
        <v>605.57943598145528</v>
      </c>
      <c r="N132" s="33">
        <f t="shared" si="0"/>
        <v>60.485875477977167</v>
      </c>
      <c r="O132" s="33">
        <f t="shared" si="1"/>
        <v>19.149798326547476</v>
      </c>
      <c r="P132" s="33" t="str">
        <f t="shared" si="14"/>
        <v>True</v>
      </c>
      <c r="Q132" s="33">
        <f t="shared" si="3"/>
        <v>19.149798326547476</v>
      </c>
      <c r="R132" s="33">
        <f t="shared" si="13"/>
        <v>21.069253375609442</v>
      </c>
      <c r="S132" s="33">
        <f t="shared" si="4"/>
        <v>0.37803672173735731</v>
      </c>
      <c r="T132" s="33">
        <f t="shared" si="5"/>
        <v>0.96997530020388345</v>
      </c>
      <c r="U132" s="33">
        <f t="shared" si="6"/>
        <v>38.541042663079288</v>
      </c>
      <c r="V132" s="68">
        <f t="shared" si="7"/>
        <v>48.663354526583639</v>
      </c>
      <c r="W132" s="33" t="str">
        <f t="shared" si="8"/>
        <v>False</v>
      </c>
    </row>
    <row r="133" spans="1:23" ht="12.75" customHeight="1" x14ac:dyDescent="0.15">
      <c r="A133" s="1"/>
      <c r="J133" s="33">
        <f t="shared" si="15"/>
        <v>88</v>
      </c>
      <c r="K133" s="33">
        <f t="shared" si="10"/>
        <v>14.742456688755032</v>
      </c>
      <c r="L133" s="33">
        <f t="shared" si="11"/>
        <v>641.39114604581982</v>
      </c>
      <c r="M133" s="33">
        <f t="shared" si="16"/>
        <v>618.38326272089944</v>
      </c>
      <c r="N133" s="33">
        <f t="shared" si="0"/>
        <v>61.022371659145513</v>
      </c>
      <c r="O133" s="33">
        <f t="shared" si="1"/>
        <v>19.198367016178487</v>
      </c>
      <c r="P133" s="33" t="str">
        <f t="shared" si="14"/>
        <v>True</v>
      </c>
      <c r="Q133" s="33">
        <f t="shared" si="3"/>
        <v>19.198367016178487</v>
      </c>
      <c r="R133" s="33">
        <f t="shared" si="13"/>
        <v>21.412289081478768</v>
      </c>
      <c r="S133" s="33">
        <f t="shared" si="4"/>
        <v>0.38138982286965945</v>
      </c>
      <c r="T133" s="33">
        <f t="shared" si="5"/>
        <v>0.97783966830672842</v>
      </c>
      <c r="U133" s="33">
        <f t="shared" si="6"/>
        <v>39.168542534060677</v>
      </c>
      <c r="V133" s="68">
        <f t="shared" si="7"/>
        <v>48.950700593327305</v>
      </c>
      <c r="W133" s="33" t="str">
        <f t="shared" si="8"/>
        <v>False</v>
      </c>
    </row>
    <row r="134" spans="1:23" ht="12.75" customHeight="1" x14ac:dyDescent="0.15">
      <c r="A134" s="1"/>
      <c r="J134" s="33">
        <f t="shared" si="15"/>
        <v>89</v>
      </c>
      <c r="K134" s="33">
        <f t="shared" si="10"/>
        <v>14.874390447590415</v>
      </c>
      <c r="L134" s="33">
        <f t="shared" si="11"/>
        <v>654.66994224996859</v>
      </c>
      <c r="M134" s="33">
        <f t="shared" si="16"/>
        <v>631.3019110328222</v>
      </c>
      <c r="N134" s="33">
        <f t="shared" si="0"/>
        <v>61.557211270980744</v>
      </c>
      <c r="O134" s="33">
        <f t="shared" si="1"/>
        <v>19.246362554457331</v>
      </c>
      <c r="P134" s="33" t="str">
        <f t="shared" si="14"/>
        <v>True</v>
      </c>
      <c r="Q134" s="33">
        <f t="shared" si="3"/>
        <v>19.246362554457331</v>
      </c>
      <c r="R134" s="33">
        <f t="shared" si="13"/>
        <v>21.756762935125419</v>
      </c>
      <c r="S134" s="33">
        <f t="shared" si="4"/>
        <v>0.38473257044362963</v>
      </c>
      <c r="T134" s="33">
        <f t="shared" si="5"/>
        <v>0.98567386676526403</v>
      </c>
      <c r="U134" s="33">
        <f t="shared" si="6"/>
        <v>39.798673144435327</v>
      </c>
      <c r="V134" s="68">
        <f t="shared" si="7"/>
        <v>49.236322493858609</v>
      </c>
      <c r="W134" s="33" t="str">
        <f t="shared" si="8"/>
        <v>False</v>
      </c>
    </row>
    <row r="135" spans="1:23" ht="12.75" customHeight="1" x14ac:dyDescent="0.15">
      <c r="A135" s="2"/>
      <c r="B135" s="69"/>
      <c r="C135" s="69"/>
      <c r="D135" s="69"/>
      <c r="E135" s="69"/>
      <c r="F135" s="69"/>
      <c r="G135" s="69"/>
      <c r="H135" s="69"/>
      <c r="I135" s="69"/>
      <c r="J135" s="69">
        <f t="shared" si="15"/>
        <v>90</v>
      </c>
      <c r="K135" s="33">
        <f t="shared" si="10"/>
        <v>15.005927125333404</v>
      </c>
      <c r="L135" s="33">
        <f t="shared" si="11"/>
        <v>668.064601093281</v>
      </c>
      <c r="M135" s="33">
        <f t="shared" si="16"/>
        <v>644.33503742708558</v>
      </c>
      <c r="N135" s="33">
        <f t="shared" si="0"/>
        <v>62.09041844649164</v>
      </c>
      <c r="O135" s="33">
        <f t="shared" si="1"/>
        <v>19.293798282108618</v>
      </c>
      <c r="P135" s="33" t="str">
        <f t="shared" si="14"/>
        <v>True</v>
      </c>
      <c r="Q135" s="33">
        <f t="shared" si="3"/>
        <v>19.293798282108618</v>
      </c>
      <c r="R135" s="33">
        <f t="shared" si="13"/>
        <v>22.102663774958355</v>
      </c>
      <c r="S135" s="33">
        <f t="shared" si="4"/>
        <v>0.38806511529057275</v>
      </c>
      <c r="T135" s="33">
        <f t="shared" si="5"/>
        <v>0.99347835845159094</v>
      </c>
      <c r="U135" s="33">
        <f t="shared" si="6"/>
        <v>40.43141407680406</v>
      </c>
      <c r="V135" s="68">
        <f t="shared" si="7"/>
        <v>49.520250446544694</v>
      </c>
      <c r="W135" s="33" t="str">
        <f t="shared" si="8"/>
        <v>False</v>
      </c>
    </row>
    <row r="136" spans="1:23" ht="12.75" customHeight="1" x14ac:dyDescent="0.15">
      <c r="A136" s="1"/>
      <c r="J136" s="33">
        <f t="shared" si="15"/>
        <v>91</v>
      </c>
      <c r="K136" s="33">
        <f t="shared" si="10"/>
        <v>15.13707247418429</v>
      </c>
      <c r="L136" s="33">
        <f t="shared" si="11"/>
        <v>681.57477367622823</v>
      </c>
      <c r="M136" s="33">
        <f t="shared" si="16"/>
        <v>657.48230338285714</v>
      </c>
      <c r="N136" s="33">
        <f t="shared" si="0"/>
        <v>62.622016697440479</v>
      </c>
      <c r="O136" s="33">
        <f t="shared" si="1"/>
        <v>19.340687080088721</v>
      </c>
      <c r="P136" s="33" t="str">
        <f t="shared" si="14"/>
        <v>True</v>
      </c>
      <c r="Q136" s="33">
        <f t="shared" si="3"/>
        <v>19.340687080088721</v>
      </c>
      <c r="R136" s="33">
        <f t="shared" si="13"/>
        <v>22.449980655381854</v>
      </c>
      <c r="S136" s="33">
        <f t="shared" si="4"/>
        <v>0.39138760435900299</v>
      </c>
      <c r="T136" s="33">
        <f t="shared" si="5"/>
        <v>1.0012535939507536</v>
      </c>
      <c r="U136" s="33">
        <f t="shared" si="6"/>
        <v>41.066745308878268</v>
      </c>
      <c r="V136" s="68">
        <f t="shared" si="7"/>
        <v>49.802513800835733</v>
      </c>
      <c r="W136" s="33" t="str">
        <f t="shared" si="8"/>
        <v>False</v>
      </c>
    </row>
    <row r="137" spans="1:23" ht="12.75" customHeight="1" x14ac:dyDescent="0.15">
      <c r="A137" s="1"/>
      <c r="J137" s="33">
        <f t="shared" si="15"/>
        <v>92</v>
      </c>
      <c r="K137" s="33">
        <f t="shared" si="10"/>
        <v>15.267832098761307</v>
      </c>
      <c r="L137" s="33">
        <f t="shared" si="11"/>
        <v>695.20011613700035</v>
      </c>
      <c r="M137" s="33">
        <f t="shared" si="16"/>
        <v>670.74337522121448</v>
      </c>
      <c r="N137" s="33">
        <f t="shared" si="0"/>
        <v>63.152028937105335</v>
      </c>
      <c r="O137" s="33">
        <f t="shared" si="1"/>
        <v>19.387041390450882</v>
      </c>
      <c r="P137" s="33" t="str">
        <f t="shared" si="14"/>
        <v>True</v>
      </c>
      <c r="Q137" s="33">
        <f t="shared" si="3"/>
        <v>19.387041390450882</v>
      </c>
      <c r="R137" s="33">
        <f t="shared" si="13"/>
        <v>22.798702840177331</v>
      </c>
      <c r="S137" s="33">
        <f t="shared" si="4"/>
        <v>0.39470018085690833</v>
      </c>
      <c r="T137" s="33">
        <f t="shared" si="5"/>
        <v>1.0090000120211668</v>
      </c>
      <c r="U137" s="33">
        <f t="shared" si="6"/>
        <v>41.704647201373589</v>
      </c>
      <c r="V137" s="68">
        <f t="shared" si="7"/>
        <v>50.083141071768864</v>
      </c>
      <c r="W137" s="33" t="str">
        <f t="shared" si="8"/>
        <v>False</v>
      </c>
    </row>
    <row r="138" spans="1:23" ht="12.75" customHeight="1" x14ac:dyDescent="0.15">
      <c r="A138" s="1"/>
      <c r="J138" s="33">
        <f t="shared" si="15"/>
        <v>93</v>
      </c>
      <c r="K138" s="33">
        <f t="shared" si="10"/>
        <v>15.398211461494745</v>
      </c>
      <c r="L138" s="33">
        <f t="shared" si="11"/>
        <v>708.94028952288659</v>
      </c>
      <c r="M138" s="33">
        <f t="shared" si="16"/>
        <v>684.11792398240323</v>
      </c>
      <c r="N138" s="33">
        <f t="shared" si="0"/>
        <v>63.680477501965939</v>
      </c>
      <c r="O138" s="33">
        <f t="shared" si="1"/>
        <v>19.432873236040891</v>
      </c>
      <c r="P138" s="33" t="str">
        <f t="shared" si="14"/>
        <v>True</v>
      </c>
      <c r="Q138" s="33">
        <f t="shared" si="3"/>
        <v>19.432873236040891</v>
      </c>
      <c r="R138" s="33">
        <f t="shared" si="13"/>
        <v>23.148819796160428</v>
      </c>
      <c r="S138" s="33">
        <f t="shared" si="4"/>
        <v>0.3980029843872871</v>
      </c>
      <c r="T138" s="33">
        <f t="shared" si="5"/>
        <v>1.0167180400328677</v>
      </c>
      <c r="U138" s="33">
        <f t="shared" si="6"/>
        <v>42.345100486407077</v>
      </c>
      <c r="V138" s="68">
        <f t="shared" si="7"/>
        <v>50.362159972732556</v>
      </c>
      <c r="W138" s="33" t="str">
        <f t="shared" si="8"/>
        <v>False</v>
      </c>
    </row>
    <row r="139" spans="1:23" ht="12.75" customHeight="1" x14ac:dyDescent="0.15">
      <c r="A139" s="1"/>
      <c r="J139" s="33">
        <f t="shared" si="15"/>
        <v>94</v>
      </c>
      <c r="K139" s="33">
        <f t="shared" si="10"/>
        <v>15.528215887766372</v>
      </c>
      <c r="L139" s="33">
        <f t="shared" si="11"/>
        <v>722.79495966632999</v>
      </c>
      <c r="M139" s="33">
        <f t="shared" si="16"/>
        <v>697.60562530752884</v>
      </c>
      <c r="N139" s="33">
        <f t="shared" si="0"/>
        <v>64.207384172375896</v>
      </c>
      <c r="O139" s="33">
        <f t="shared" si="1"/>
        <v>19.478194239101164</v>
      </c>
      <c r="P139" s="33" t="str">
        <f t="shared" si="14"/>
        <v>True</v>
      </c>
      <c r="Q139" s="33">
        <f t="shared" si="3"/>
        <v>19.478194239101164</v>
      </c>
      <c r="R139" s="33">
        <f t="shared" si="13"/>
        <v>23.500321187099516</v>
      </c>
      <c r="S139" s="33">
        <f t="shared" si="4"/>
        <v>0.40129615107734939</v>
      </c>
      <c r="T139" s="33">
        <f t="shared" si="5"/>
        <v>1.0244080943849074</v>
      </c>
      <c r="U139" s="33">
        <f t="shared" si="6"/>
        <v>42.988086256372611</v>
      </c>
      <c r="V139" s="68">
        <f t="shared" si="7"/>
        <v>50.639597446598017</v>
      </c>
      <c r="W139" s="33" t="str">
        <f t="shared" si="8"/>
        <v>False</v>
      </c>
    </row>
    <row r="140" spans="1:23" ht="12.75" customHeight="1" x14ac:dyDescent="0.15">
      <c r="A140" s="2"/>
      <c r="B140" s="69"/>
      <c r="C140" s="69"/>
      <c r="D140" s="69"/>
      <c r="E140" s="69"/>
      <c r="F140" s="69"/>
      <c r="G140" s="69"/>
      <c r="H140" s="69"/>
      <c r="I140" s="69"/>
      <c r="J140" s="69">
        <f t="shared" si="15"/>
        <v>95</v>
      </c>
      <c r="K140" s="33">
        <f t="shared" si="10"/>
        <v>15.657850570809158</v>
      </c>
      <c r="L140" s="33">
        <f t="shared" si="11"/>
        <v>736.76379706543753</v>
      </c>
      <c r="M140" s="33">
        <f t="shared" si="16"/>
        <v>711.20615932447583</v>
      </c>
      <c r="N140" s="33">
        <f t="shared" si="0"/>
        <v>64.732770192278622</v>
      </c>
      <c r="O140" s="33">
        <f t="shared" si="1"/>
        <v>19.523015638854908</v>
      </c>
      <c r="P140" s="33" t="str">
        <f t="shared" si="14"/>
        <v>True</v>
      </c>
      <c r="Q140" s="33">
        <f t="shared" si="3"/>
        <v>19.523015638854908</v>
      </c>
      <c r="R140" s="33">
        <f t="shared" si="13"/>
        <v>23.853196867881977</v>
      </c>
      <c r="S140" s="33">
        <f t="shared" si="4"/>
        <v>0.40457981370174134</v>
      </c>
      <c r="T140" s="33">
        <f t="shared" si="5"/>
        <v>1.0320705809030855</v>
      </c>
      <c r="U140" s="33">
        <f t="shared" si="6"/>
        <v>43.633585953269517</v>
      </c>
      <c r="V140" s="68">
        <f t="shared" si="7"/>
        <v>50.91547969531549</v>
      </c>
      <c r="W140" s="33" t="str">
        <f t="shared" si="8"/>
        <v>False</v>
      </c>
    </row>
    <row r="141" spans="1:23" ht="12.75" customHeight="1" x14ac:dyDescent="0.15">
      <c r="A141" s="1"/>
      <c r="J141" s="33">
        <f t="shared" si="15"/>
        <v>96</v>
      </c>
      <c r="K141" s="33">
        <f t="shared" si="10"/>
        <v>15.787120576380765</v>
      </c>
      <c r="L141" s="33">
        <f t="shared" si="11"/>
        <v>750.84647676873851</v>
      </c>
      <c r="M141" s="33">
        <f t="shared" si="16"/>
        <v>724.91921053785927</v>
      </c>
      <c r="N141" s="33">
        <f t="shared" si="0"/>
        <v>65.25665628802075</v>
      </c>
      <c r="O141" s="33">
        <f t="shared" si="1"/>
        <v>19.567348308136744</v>
      </c>
      <c r="P141" s="33" t="str">
        <f t="shared" si="14"/>
        <v>True</v>
      </c>
      <c r="Q141" s="33">
        <f t="shared" si="3"/>
        <v>19.567348308136744</v>
      </c>
      <c r="R141" s="33">
        <f t="shared" si="13"/>
        <v>24.207436878915249</v>
      </c>
      <c r="S141" s="33">
        <f t="shared" si="4"/>
        <v>0.40785410180012971</v>
      </c>
      <c r="T141" s="33">
        <f t="shared" si="5"/>
        <v>1.0397058952191496</v>
      </c>
      <c r="U141" s="33">
        <f t="shared" si="6"/>
        <v>44.281581358460663</v>
      </c>
      <c r="V141" s="68">
        <f t="shared" si="7"/>
        <v>51.189832208066882</v>
      </c>
      <c r="W141" s="33" t="str">
        <f t="shared" si="8"/>
        <v>False</v>
      </c>
    </row>
    <row r="142" spans="1:23" ht="12.75" customHeight="1" x14ac:dyDescent="0.15">
      <c r="A142" s="1"/>
      <c r="J142" s="33">
        <f t="shared" si="15"/>
        <v>97</v>
      </c>
      <c r="K142" s="33">
        <f t="shared" si="10"/>
        <v>15.91603084722356</v>
      </c>
      <c r="L142" s="33">
        <f t="shared" si="11"/>
        <v>765.04267826399803</v>
      </c>
      <c r="M142" s="33">
        <f t="shared" si="16"/>
        <v>738.74446772282408</v>
      </c>
      <c r="N142" s="33">
        <f t="shared" si="0"/>
        <v>65.779062686314163</v>
      </c>
      <c r="O142" s="33">
        <f t="shared" si="1"/>
        <v>19.611202769131076</v>
      </c>
      <c r="P142" s="33" t="str">
        <f t="shared" si="14"/>
        <v>True</v>
      </c>
      <c r="Q142" s="33">
        <f t="shared" si="3"/>
        <v>19.611202769131076</v>
      </c>
      <c r="R142" s="33">
        <f t="shared" si="13"/>
        <v>24.56303144075115</v>
      </c>
      <c r="S142" s="33">
        <f t="shared" si="4"/>
        <v>0.41111914178946352</v>
      </c>
      <c r="T142" s="33">
        <f t="shared" si="5"/>
        <v>1.0473144231325182</v>
      </c>
      <c r="U142" s="33">
        <f t="shared" si="6"/>
        <v>44.93205458283898</v>
      </c>
      <c r="V142" s="68">
        <f t="shared" si="7"/>
        <v>51.462679788059937</v>
      </c>
      <c r="W142" s="33" t="str">
        <f t="shared" si="8"/>
        <v>False</v>
      </c>
    </row>
    <row r="143" spans="1:23" ht="12.75" customHeight="1" x14ac:dyDescent="0.15">
      <c r="A143" s="1"/>
      <c r="J143" s="33">
        <f t="shared" si="15"/>
        <v>98</v>
      </c>
      <c r="K143" s="33">
        <f t="shared" si="10"/>
        <v>16.044586207323164</v>
      </c>
      <c r="L143" s="33">
        <f t="shared" si="11"/>
        <v>779.35208537089841</v>
      </c>
      <c r="M143" s="33">
        <f t="shared" si="16"/>
        <v>752.6816238225191</v>
      </c>
      <c r="N143" s="33">
        <f t="shared" si="0"/>
        <v>66.300009131392784</v>
      </c>
      <c r="O143" s="33">
        <f t="shared" si="1"/>
        <v>19.65458920827508</v>
      </c>
      <c r="P143" s="33" t="str">
        <f t="shared" si="14"/>
        <v>True</v>
      </c>
      <c r="Q143" s="33">
        <f t="shared" si="3"/>
        <v>19.65458920827508</v>
      </c>
      <c r="R143" s="33">
        <f t="shared" si="13"/>
        <v>24.919970948922025</v>
      </c>
      <c r="S143" s="33">
        <f t="shared" si="4"/>
        <v>0.41437505707120492</v>
      </c>
      <c r="T143" s="33">
        <f t="shared" si="5"/>
        <v>1.0548965409555016</v>
      </c>
      <c r="U143" s="33">
        <f t="shared" si="6"/>
        <v>45.584988057381445</v>
      </c>
      <c r="V143" s="68">
        <f t="shared" si="7"/>
        <v>51.734046578042964</v>
      </c>
      <c r="W143" s="33" t="str">
        <f t="shared" si="8"/>
        <v>False</v>
      </c>
    </row>
    <row r="144" spans="1:23" ht="12.75" customHeight="1" x14ac:dyDescent="0.15">
      <c r="A144" s="1"/>
      <c r="J144" s="33">
        <f t="shared" si="15"/>
        <v>99</v>
      </c>
      <c r="K144" s="33">
        <f t="shared" si="10"/>
        <v>16.172791365976479</v>
      </c>
      <c r="L144" s="33">
        <f t="shared" si="11"/>
        <v>793.77438613741765</v>
      </c>
      <c r="M144" s="33">
        <f t="shared" si="16"/>
        <v>766.7303758490807</v>
      </c>
      <c r="N144" s="33">
        <f t="shared" si="0"/>
        <v>66.819514901409079</v>
      </c>
      <c r="O144" s="33">
        <f t="shared" si="1"/>
        <v>19.697517490378857</v>
      </c>
      <c r="P144" s="33" t="str">
        <f t="shared" si="14"/>
        <v>True</v>
      </c>
      <c r="Q144" s="33">
        <f t="shared" si="3"/>
        <v>19.697517490378857</v>
      </c>
      <c r="R144" s="33">
        <f t="shared" si="13"/>
        <v>25.278245968978386</v>
      </c>
      <c r="S144" s="33">
        <f t="shared" si="4"/>
        <v>0.41762196813380675</v>
      </c>
      <c r="T144" s="33">
        <f t="shared" si="5"/>
        <v>1.0624526158429428</v>
      </c>
      <c r="U144" s="33">
        <f t="shared" si="6"/>
        <v>46.240364524071659</v>
      </c>
      <c r="V144" s="68">
        <f t="shared" si="7"/>
        <v>52.003956084614174</v>
      </c>
      <c r="W144" s="33" t="str">
        <f t="shared" si="8"/>
        <v>False</v>
      </c>
    </row>
    <row r="145" spans="1:23" ht="12.75" customHeight="1" x14ac:dyDescent="0.15">
      <c r="A145" s="1"/>
      <c r="J145" s="33">
        <f t="shared" si="15"/>
        <v>100</v>
      </c>
      <c r="K145" s="33">
        <f>[1]species19!$C$29*(R144^[1]species19!$C$30)*U144</f>
        <v>-21.164214842667597</v>
      </c>
      <c r="L145" s="33">
        <f t="shared" si="11"/>
        <v>770.84440697539151</v>
      </c>
      <c r="M145" s="33" t="e">
        <f>M144+([1]species19!$C$3*(K145^[1]species19!$C$4))</f>
        <v>#NUM!</v>
      </c>
      <c r="N145" s="33" t="e">
        <f>([1]species19!$C$19*(S145^[1]species19!$C$20))-[1]species19!$C$21</f>
        <v>#NUM!</v>
      </c>
      <c r="O145" s="33" t="e">
        <f>[1]species19!$C$25+([1]species19!$C$26*(LN(S145)))</f>
        <v>#NUM!</v>
      </c>
      <c r="P145" s="33" t="str">
        <f t="shared" si="14"/>
        <v>True</v>
      </c>
      <c r="Q145" s="33" t="e">
        <f t="shared" si="3"/>
        <v>#NUM!</v>
      </c>
      <c r="R145" s="33" t="e">
        <f>IF(P145="False",[1]species19!$C$7*(M145^[1]species19!$C$8),[1]species19!$C$11*(M145^[1]species19!$C$12))</f>
        <v>#NUM!</v>
      </c>
      <c r="S145" s="33" t="e">
        <f>[1]species19!$C$15*(M145^[1]species19!$C$16)</f>
        <v>#NUM!</v>
      </c>
      <c r="T145" s="33" t="e">
        <f>(((R145/[1]species19!$C$34)/[1]species19!$C$37)^0.5)*0.7071067812</f>
        <v>#NUM!</v>
      </c>
      <c r="U145" s="33" t="e">
        <f>(((R145/[1]species19!$C$34)/[1]species19!$C$37)/2)</f>
        <v>#NUM!</v>
      </c>
      <c r="V145" s="68" t="e">
        <f>0.79*((([1]species19!$C$36*1000000000)/(9.81*[1]species19!$C$35))^0.33)*(S145^0.6667)</f>
        <v>#NUM!</v>
      </c>
      <c r="W145" s="33" t="e">
        <f t="shared" si="8"/>
        <v>#NUM!</v>
      </c>
    </row>
    <row r="146" spans="1:23" ht="12.75" customHeight="1" x14ac:dyDescent="0.15">
      <c r="A146" s="1"/>
      <c r="J146" s="33">
        <f t="shared" si="15"/>
        <v>101</v>
      </c>
      <c r="K146" s="33" t="e">
        <f>[1]species19!$C$29*(R145^[1]species19!$C$30)*U145</f>
        <v>#NUM!</v>
      </c>
      <c r="L146" s="33" t="e">
        <f t="shared" si="11"/>
        <v>#NUM!</v>
      </c>
      <c r="M146" s="33" t="e">
        <f>M145+([1]species19!$C$3*(K146^[1]species19!$C$4))</f>
        <v>#NUM!</v>
      </c>
      <c r="N146" s="33" t="e">
        <f>([1]species19!$C$19*(S146^[1]species19!$C$20))-[1]species19!$C$21</f>
        <v>#NUM!</v>
      </c>
      <c r="O146" s="33" t="e">
        <f>[1]species19!$C$25+([1]species19!$C$26*(LN(S146)))</f>
        <v>#NUM!</v>
      </c>
      <c r="P146" s="33" t="str">
        <f t="shared" si="14"/>
        <v>True</v>
      </c>
      <c r="Q146" s="33" t="e">
        <f t="shared" si="3"/>
        <v>#NUM!</v>
      </c>
      <c r="R146" s="33" t="e">
        <f>IF(P146="False",[1]species19!$C$7*(M146^[1]species19!$C$8),[1]species19!$C$11*(M146^[1]species19!$C$12))</f>
        <v>#NUM!</v>
      </c>
      <c r="S146" s="33" t="e">
        <f>[1]species19!$C$15*(M146^[1]species19!$C$16)</f>
        <v>#NUM!</v>
      </c>
      <c r="T146" s="33" t="e">
        <f>(((R146/[1]species19!$C$34)/[1]species19!$C$37)^0.5)*0.7071067812</f>
        <v>#NUM!</v>
      </c>
      <c r="U146" s="33" t="e">
        <f>(((R146/[1]species19!$C$34)/[1]species19!$C$37)/2)</f>
        <v>#NUM!</v>
      </c>
      <c r="V146" s="68" t="e">
        <f>0.79*((([1]species19!$C$36*1000000000)/(9.81*[1]species19!$C$35))^0.33)*(S146^0.6667)</f>
        <v>#NUM!</v>
      </c>
      <c r="W146" s="33" t="e">
        <f t="shared" si="8"/>
        <v>#NUM!</v>
      </c>
    </row>
    <row r="147" spans="1:23" ht="12.75" customHeight="1" x14ac:dyDescent="0.15">
      <c r="A147" s="1"/>
    </row>
    <row r="148" spans="1:23" ht="12.75" customHeight="1" x14ac:dyDescent="0.15">
      <c r="A148" s="1"/>
    </row>
    <row r="149" spans="1:23" ht="12.75" customHeight="1" x14ac:dyDescent="0.15">
      <c r="A149" s="1"/>
    </row>
    <row r="150" spans="1:23" ht="12.75" customHeight="1" x14ac:dyDescent="0.15">
      <c r="A150" s="1"/>
    </row>
    <row r="151" spans="1:23" ht="12.75" customHeight="1" x14ac:dyDescent="0.15">
      <c r="A151" s="1"/>
    </row>
    <row r="152" spans="1:23" ht="12.75" customHeight="1" x14ac:dyDescent="0.15">
      <c r="A152" s="1"/>
    </row>
    <row r="153" spans="1:23" ht="12.75" customHeight="1" x14ac:dyDescent="0.15">
      <c r="A153" s="1"/>
    </row>
    <row r="154" spans="1:23" ht="12.75" customHeight="1" x14ac:dyDescent="0.15">
      <c r="A154" s="1"/>
    </row>
    <row r="155" spans="1:23" ht="12.75" customHeight="1" x14ac:dyDescent="0.15">
      <c r="A155" s="1"/>
    </row>
    <row r="156" spans="1:23" ht="12.75" customHeight="1" x14ac:dyDescent="0.15">
      <c r="A156" s="1"/>
    </row>
    <row r="157" spans="1:23" ht="12.75" customHeight="1" x14ac:dyDescent="0.15">
      <c r="A157" s="1"/>
    </row>
    <row r="158" spans="1:23" ht="12.75" customHeight="1" x14ac:dyDescent="0.15">
      <c r="A158" s="1"/>
    </row>
    <row r="159" spans="1:23" ht="12.75" customHeight="1" x14ac:dyDescent="0.15">
      <c r="A159" s="1"/>
    </row>
    <row r="160" spans="1:23" ht="12.75" customHeight="1" x14ac:dyDescent="0.15">
      <c r="A160" s="1"/>
    </row>
    <row r="161" spans="1:1" ht="12.75" customHeight="1" x14ac:dyDescent="0.15">
      <c r="A161" s="1"/>
    </row>
    <row r="162" spans="1:1" ht="12.75" customHeight="1" x14ac:dyDescent="0.15">
      <c r="A162" s="1"/>
    </row>
    <row r="163" spans="1:1" ht="12.75" customHeight="1" x14ac:dyDescent="0.15">
      <c r="A163" s="1"/>
    </row>
    <row r="164" spans="1:1" ht="12.75" customHeight="1" x14ac:dyDescent="0.15">
      <c r="A164" s="1"/>
    </row>
    <row r="165" spans="1:1" ht="12.75" customHeight="1" x14ac:dyDescent="0.15">
      <c r="A165" s="1"/>
    </row>
    <row r="166" spans="1:1" ht="12.75" customHeight="1" x14ac:dyDescent="0.15">
      <c r="A166" s="1"/>
    </row>
    <row r="167" spans="1:1" ht="12.75" customHeight="1" x14ac:dyDescent="0.15">
      <c r="A167" s="1"/>
    </row>
    <row r="168" spans="1:1" ht="12.75" customHeight="1" x14ac:dyDescent="0.15">
      <c r="A168" s="1"/>
    </row>
    <row r="169" spans="1:1" ht="12.75" customHeight="1" x14ac:dyDescent="0.15">
      <c r="A169" s="1"/>
    </row>
    <row r="170" spans="1:1" ht="12.75" customHeight="1" x14ac:dyDescent="0.15">
      <c r="A170" s="1"/>
    </row>
    <row r="171" spans="1:1" ht="12.75" customHeight="1" x14ac:dyDescent="0.15">
      <c r="A171" s="1"/>
    </row>
    <row r="172" spans="1:1" ht="12.75" customHeight="1" x14ac:dyDescent="0.15">
      <c r="A172" s="1"/>
    </row>
    <row r="173" spans="1:1" ht="12.75" customHeight="1" x14ac:dyDescent="0.15">
      <c r="A173" s="1"/>
    </row>
    <row r="174" spans="1:1" ht="12.75" customHeight="1" x14ac:dyDescent="0.15">
      <c r="A174" s="1"/>
    </row>
    <row r="175" spans="1:1" ht="12.75" customHeight="1" x14ac:dyDescent="0.15">
      <c r="A175" s="1"/>
    </row>
    <row r="176" spans="1:1" ht="12.75" customHeight="1" x14ac:dyDescent="0.15">
      <c r="A176" s="1"/>
    </row>
    <row r="177" spans="1:1" ht="12.75" customHeight="1" x14ac:dyDescent="0.15">
      <c r="A177" s="1"/>
    </row>
    <row r="178" spans="1:1" ht="12.75" customHeight="1" x14ac:dyDescent="0.15">
      <c r="A178" s="1"/>
    </row>
    <row r="179" spans="1:1" ht="12.75" customHeight="1" x14ac:dyDescent="0.15">
      <c r="A179" s="1"/>
    </row>
    <row r="180" spans="1:1" ht="12.75" customHeight="1" x14ac:dyDescent="0.15">
      <c r="A180" s="1"/>
    </row>
    <row r="181" spans="1:1" ht="12.75" customHeight="1" x14ac:dyDescent="0.15">
      <c r="A181" s="1"/>
    </row>
    <row r="182" spans="1:1" ht="12.75" customHeight="1" x14ac:dyDescent="0.15">
      <c r="A182" s="1"/>
    </row>
    <row r="183" spans="1:1" ht="12.75" customHeight="1" x14ac:dyDescent="0.15">
      <c r="A183" s="1"/>
    </row>
    <row r="184" spans="1:1" ht="12.75" customHeight="1" x14ac:dyDescent="0.15">
      <c r="A184" s="1"/>
    </row>
    <row r="185" spans="1:1" ht="12.75" customHeight="1" x14ac:dyDescent="0.15">
      <c r="A185" s="1"/>
    </row>
    <row r="186" spans="1:1" ht="12.75" customHeight="1" x14ac:dyDescent="0.15">
      <c r="A186" s="1"/>
    </row>
    <row r="187" spans="1:1" ht="12.75" customHeight="1" x14ac:dyDescent="0.15">
      <c r="A187" s="1"/>
    </row>
    <row r="188" spans="1:1" ht="12.75" customHeight="1" x14ac:dyDescent="0.15">
      <c r="A188" s="1"/>
    </row>
    <row r="189" spans="1:1" ht="12.75" customHeight="1" x14ac:dyDescent="0.15">
      <c r="A189" s="1"/>
    </row>
    <row r="190" spans="1:1" ht="12.75" customHeight="1" x14ac:dyDescent="0.15">
      <c r="A190" s="1"/>
    </row>
    <row r="191" spans="1:1" ht="12.75" customHeight="1" x14ac:dyDescent="0.15">
      <c r="A191" s="1"/>
    </row>
    <row r="192" spans="1:1" ht="12.75" customHeight="1" x14ac:dyDescent="0.15">
      <c r="A192" s="1"/>
    </row>
    <row r="193" spans="1:1" ht="12.75" customHeight="1" x14ac:dyDescent="0.15">
      <c r="A193" s="1"/>
    </row>
    <row r="194" spans="1:1" ht="12.75" customHeight="1" x14ac:dyDescent="0.15">
      <c r="A194" s="1"/>
    </row>
    <row r="195" spans="1:1" ht="12.75" customHeight="1" x14ac:dyDescent="0.15">
      <c r="A195" s="1"/>
    </row>
    <row r="196" spans="1:1" ht="12.75" customHeight="1" x14ac:dyDescent="0.15">
      <c r="A196" s="1"/>
    </row>
    <row r="197" spans="1:1" ht="12.75" customHeight="1" x14ac:dyDescent="0.15">
      <c r="A197" s="1"/>
    </row>
    <row r="198" spans="1:1" ht="12.75" customHeight="1" x14ac:dyDescent="0.15">
      <c r="A198" s="1"/>
    </row>
    <row r="199" spans="1:1" ht="12.75" customHeight="1" x14ac:dyDescent="0.15">
      <c r="A199" s="1"/>
    </row>
    <row r="200" spans="1:1" ht="12.75" customHeight="1" x14ac:dyDescent="0.15">
      <c r="A200" s="1"/>
    </row>
    <row r="201" spans="1:1" ht="12.75" customHeight="1" x14ac:dyDescent="0.15">
      <c r="A201" s="1"/>
    </row>
    <row r="202" spans="1:1" ht="12.75" customHeight="1" x14ac:dyDescent="0.15">
      <c r="A202" s="1"/>
    </row>
    <row r="203" spans="1:1" ht="12.75" customHeight="1" x14ac:dyDescent="0.15">
      <c r="A203" s="1"/>
    </row>
    <row r="204" spans="1:1" ht="12.75" customHeight="1" x14ac:dyDescent="0.15">
      <c r="A204" s="1"/>
    </row>
    <row r="205" spans="1:1" ht="12.75" customHeight="1" x14ac:dyDescent="0.15">
      <c r="A205" s="1"/>
    </row>
    <row r="206" spans="1:1" ht="12.75" customHeight="1" x14ac:dyDescent="0.15">
      <c r="A206" s="1"/>
    </row>
    <row r="207" spans="1:1" ht="12.75" customHeight="1" x14ac:dyDescent="0.15">
      <c r="A207" s="1"/>
    </row>
    <row r="208" spans="1:1" ht="12.75" customHeight="1" x14ac:dyDescent="0.15">
      <c r="A208" s="1"/>
    </row>
    <row r="209" spans="1:1" ht="12.75" customHeight="1" x14ac:dyDescent="0.15">
      <c r="A209" s="1"/>
    </row>
    <row r="210" spans="1:1" ht="12.75" customHeight="1" x14ac:dyDescent="0.15">
      <c r="A210" s="1"/>
    </row>
    <row r="211" spans="1:1" ht="12.75" customHeight="1" x14ac:dyDescent="0.15">
      <c r="A211" s="1"/>
    </row>
    <row r="212" spans="1:1" ht="12.75" customHeight="1" x14ac:dyDescent="0.15">
      <c r="A212" s="1"/>
    </row>
    <row r="213" spans="1:1" ht="12.75" customHeight="1" x14ac:dyDescent="0.15">
      <c r="A213" s="1"/>
    </row>
    <row r="214" spans="1:1" ht="12.75" customHeight="1" x14ac:dyDescent="0.15">
      <c r="A214" s="1"/>
    </row>
    <row r="215" spans="1:1" ht="12.75" customHeight="1" x14ac:dyDescent="0.15">
      <c r="A215" s="1"/>
    </row>
    <row r="216" spans="1:1" ht="12.75" customHeight="1" x14ac:dyDescent="0.15">
      <c r="A216" s="1"/>
    </row>
    <row r="217" spans="1:1" ht="12.75" customHeight="1" x14ac:dyDescent="0.15">
      <c r="A217" s="1"/>
    </row>
    <row r="218" spans="1:1" ht="12.75" customHeight="1" x14ac:dyDescent="0.15">
      <c r="A218" s="1"/>
    </row>
    <row r="219" spans="1:1" ht="12.75" customHeight="1" x14ac:dyDescent="0.15">
      <c r="A219" s="1"/>
    </row>
    <row r="220" spans="1:1" ht="12.75" customHeight="1" x14ac:dyDescent="0.15">
      <c r="A220" s="1"/>
    </row>
    <row r="221" spans="1:1" ht="12.75" customHeight="1" x14ac:dyDescent="0.15">
      <c r="A221" s="1"/>
    </row>
    <row r="222" spans="1:1" ht="12.75" customHeight="1" x14ac:dyDescent="0.15">
      <c r="A222" s="1"/>
    </row>
    <row r="223" spans="1:1" ht="12.75" customHeight="1" x14ac:dyDescent="0.15">
      <c r="A223" s="1"/>
    </row>
    <row r="224" spans="1:1" ht="12.75" customHeight="1" x14ac:dyDescent="0.15">
      <c r="A224" s="1"/>
    </row>
    <row r="225" spans="1:1" ht="12.75" customHeight="1" x14ac:dyDescent="0.15">
      <c r="A225" s="1"/>
    </row>
    <row r="226" spans="1:1" ht="12.75" customHeight="1" x14ac:dyDescent="0.15">
      <c r="A226" s="1"/>
    </row>
    <row r="227" spans="1:1" ht="12.75" customHeight="1" x14ac:dyDescent="0.15">
      <c r="A227" s="1"/>
    </row>
    <row r="228" spans="1:1" ht="12.75" customHeight="1" x14ac:dyDescent="0.15">
      <c r="A228" s="1"/>
    </row>
    <row r="229" spans="1:1" ht="12.75" customHeight="1" x14ac:dyDescent="0.15">
      <c r="A229" s="1"/>
    </row>
    <row r="230" spans="1:1" ht="12.75" customHeight="1" x14ac:dyDescent="0.15">
      <c r="A230" s="1"/>
    </row>
    <row r="231" spans="1:1" ht="12.75" customHeight="1" x14ac:dyDescent="0.15">
      <c r="A231" s="1"/>
    </row>
    <row r="232" spans="1:1" ht="12.75" customHeight="1" x14ac:dyDescent="0.15">
      <c r="A232" s="1"/>
    </row>
    <row r="233" spans="1:1" ht="12.75" customHeight="1" x14ac:dyDescent="0.15">
      <c r="A233" s="1"/>
    </row>
    <row r="234" spans="1:1" ht="12.75" customHeight="1" x14ac:dyDescent="0.15">
      <c r="A234" s="1"/>
    </row>
    <row r="235" spans="1:1" ht="12.75" customHeight="1" x14ac:dyDescent="0.15">
      <c r="A235" s="1"/>
    </row>
    <row r="236" spans="1:1" ht="12.75" customHeight="1" x14ac:dyDescent="0.15">
      <c r="A236" s="1"/>
    </row>
    <row r="237" spans="1:1" ht="12.75" customHeight="1" x14ac:dyDescent="0.15">
      <c r="A237" s="1"/>
    </row>
    <row r="238" spans="1:1" ht="12.75" customHeight="1" x14ac:dyDescent="0.15">
      <c r="A238" s="1"/>
    </row>
    <row r="239" spans="1:1" ht="12.75" customHeight="1" x14ac:dyDescent="0.15">
      <c r="A239" s="1"/>
    </row>
    <row r="240" spans="1:1" ht="12.75" customHeight="1" x14ac:dyDescent="0.15">
      <c r="A240" s="1"/>
    </row>
    <row r="241" spans="1:1" ht="12.75" customHeight="1" x14ac:dyDescent="0.15">
      <c r="A241" s="1"/>
    </row>
    <row r="242" spans="1:1" ht="12.75" customHeight="1" x14ac:dyDescent="0.15">
      <c r="A242" s="1"/>
    </row>
    <row r="243" spans="1:1" ht="12.75" customHeight="1" x14ac:dyDescent="0.15">
      <c r="A243" s="1"/>
    </row>
    <row r="244" spans="1:1" ht="12.75" customHeight="1" x14ac:dyDescent="0.15">
      <c r="A244" s="1"/>
    </row>
    <row r="245" spans="1:1" ht="12.75" customHeight="1" x14ac:dyDescent="0.15">
      <c r="A245" s="1"/>
    </row>
    <row r="246" spans="1:1" ht="12.75" customHeight="1" x14ac:dyDescent="0.15">
      <c r="A246" s="1"/>
    </row>
    <row r="247" spans="1:1" ht="12.75" customHeight="1" x14ac:dyDescent="0.15">
      <c r="A247" s="1"/>
    </row>
    <row r="248" spans="1:1" ht="12.75" customHeight="1" x14ac:dyDescent="0.15">
      <c r="A248" s="1"/>
    </row>
    <row r="249" spans="1:1" ht="12.75" customHeight="1" x14ac:dyDescent="0.15">
      <c r="A249" s="1"/>
    </row>
    <row r="250" spans="1:1" ht="12.75" customHeight="1" x14ac:dyDescent="0.15">
      <c r="A250" s="1"/>
    </row>
    <row r="251" spans="1:1" ht="12.75" customHeight="1" x14ac:dyDescent="0.15">
      <c r="A251" s="1"/>
    </row>
    <row r="252" spans="1:1" ht="12.75" customHeight="1" x14ac:dyDescent="0.15">
      <c r="A252" s="1"/>
    </row>
    <row r="253" spans="1:1" ht="12.75" customHeight="1" x14ac:dyDescent="0.15">
      <c r="A253" s="1"/>
    </row>
    <row r="254" spans="1:1" ht="12.75" customHeight="1" x14ac:dyDescent="0.15">
      <c r="A254" s="1"/>
    </row>
    <row r="255" spans="1:1" ht="12.75" customHeight="1" x14ac:dyDescent="0.15">
      <c r="A255" s="1"/>
    </row>
    <row r="256" spans="1:1" ht="12.75" customHeight="1" x14ac:dyDescent="0.15">
      <c r="A256" s="1"/>
    </row>
    <row r="257" spans="1:1" ht="12.75" customHeight="1" x14ac:dyDescent="0.15">
      <c r="A257" s="1"/>
    </row>
    <row r="258" spans="1:1" ht="12.75" customHeight="1" x14ac:dyDescent="0.15">
      <c r="A258" s="1"/>
    </row>
    <row r="259" spans="1:1" ht="12.75" customHeight="1" x14ac:dyDescent="0.15">
      <c r="A259" s="1"/>
    </row>
    <row r="260" spans="1:1" ht="12.75" customHeight="1" x14ac:dyDescent="0.15">
      <c r="A260" s="1"/>
    </row>
    <row r="261" spans="1:1" ht="12.75" customHeight="1" x14ac:dyDescent="0.15">
      <c r="A261" s="1"/>
    </row>
    <row r="262" spans="1:1" ht="12.75" customHeight="1" x14ac:dyDescent="0.15">
      <c r="A262" s="1"/>
    </row>
    <row r="263" spans="1:1" ht="12.75" customHeight="1" x14ac:dyDescent="0.15">
      <c r="A263" s="1"/>
    </row>
    <row r="264" spans="1:1" ht="12.75" customHeight="1" x14ac:dyDescent="0.15">
      <c r="A264" s="1"/>
    </row>
    <row r="265" spans="1:1" ht="12.75" customHeight="1" x14ac:dyDescent="0.15">
      <c r="A265" s="1"/>
    </row>
    <row r="266" spans="1:1" ht="12.75" customHeight="1" x14ac:dyDescent="0.15">
      <c r="A266" s="1"/>
    </row>
    <row r="267" spans="1:1" ht="12.75" customHeight="1" x14ac:dyDescent="0.15">
      <c r="A267" s="1"/>
    </row>
    <row r="268" spans="1:1" ht="12.75" customHeight="1" x14ac:dyDescent="0.15">
      <c r="A268" s="1"/>
    </row>
    <row r="269" spans="1:1" ht="12.75" customHeight="1" x14ac:dyDescent="0.15">
      <c r="A269" s="1"/>
    </row>
    <row r="270" spans="1:1" ht="12.75" customHeight="1" x14ac:dyDescent="0.15">
      <c r="A270" s="1"/>
    </row>
    <row r="271" spans="1:1" ht="12.75" customHeight="1" x14ac:dyDescent="0.15">
      <c r="A271" s="1"/>
    </row>
    <row r="272" spans="1:1" ht="12.75" customHeight="1" x14ac:dyDescent="0.15">
      <c r="A272" s="1"/>
    </row>
    <row r="273" spans="1:1" ht="12.75" customHeight="1" x14ac:dyDescent="0.15">
      <c r="A273" s="1"/>
    </row>
    <row r="274" spans="1:1" ht="12.75" customHeight="1" x14ac:dyDescent="0.15">
      <c r="A274" s="1"/>
    </row>
    <row r="275" spans="1:1" ht="12.75" customHeight="1" x14ac:dyDescent="0.15">
      <c r="A275" s="1"/>
    </row>
    <row r="276" spans="1:1" ht="12.75" customHeight="1" x14ac:dyDescent="0.15">
      <c r="A276" s="1"/>
    </row>
    <row r="277" spans="1:1" ht="12.75" customHeight="1" x14ac:dyDescent="0.15">
      <c r="A277" s="1"/>
    </row>
    <row r="278" spans="1:1" ht="12.75" customHeight="1" x14ac:dyDescent="0.15">
      <c r="A278" s="1"/>
    </row>
    <row r="279" spans="1:1" ht="12.75" customHeight="1" x14ac:dyDescent="0.15">
      <c r="A279" s="1"/>
    </row>
    <row r="280" spans="1:1" ht="12.75" customHeight="1" x14ac:dyDescent="0.15">
      <c r="A280" s="1"/>
    </row>
    <row r="281" spans="1:1" ht="12.75" customHeight="1" x14ac:dyDescent="0.15">
      <c r="A281" s="1"/>
    </row>
    <row r="282" spans="1:1" ht="12.75" customHeight="1" x14ac:dyDescent="0.15">
      <c r="A282" s="1"/>
    </row>
    <row r="283" spans="1:1" ht="12.75" customHeight="1" x14ac:dyDescent="0.15">
      <c r="A283" s="1"/>
    </row>
    <row r="284" spans="1:1" ht="12.75" customHeight="1" x14ac:dyDescent="0.15">
      <c r="A284" s="1"/>
    </row>
    <row r="285" spans="1:1" ht="12.75" customHeight="1" x14ac:dyDescent="0.15">
      <c r="A285" s="1"/>
    </row>
    <row r="286" spans="1:1" ht="12.75" customHeight="1" x14ac:dyDescent="0.15">
      <c r="A286" s="1"/>
    </row>
    <row r="287" spans="1:1" ht="12.75" customHeight="1" x14ac:dyDescent="0.15">
      <c r="A287" s="1"/>
    </row>
    <row r="288" spans="1:1" ht="12.75" customHeight="1" x14ac:dyDescent="0.15">
      <c r="A288" s="1"/>
    </row>
    <row r="289" spans="1:1" ht="12.75" customHeight="1" x14ac:dyDescent="0.15">
      <c r="A289" s="1"/>
    </row>
    <row r="290" spans="1:1" ht="12.75" customHeight="1" x14ac:dyDescent="0.15">
      <c r="A290" s="1"/>
    </row>
    <row r="291" spans="1:1" ht="12.75" customHeight="1" x14ac:dyDescent="0.15">
      <c r="A291" s="1"/>
    </row>
    <row r="292" spans="1:1" ht="12.75" customHeight="1" x14ac:dyDescent="0.15">
      <c r="A292" s="1"/>
    </row>
    <row r="293" spans="1:1" ht="12.75" customHeight="1" x14ac:dyDescent="0.15">
      <c r="A293" s="1"/>
    </row>
    <row r="294" spans="1:1" ht="12.75" customHeight="1" x14ac:dyDescent="0.15">
      <c r="A294" s="1"/>
    </row>
    <row r="295" spans="1:1" ht="12.75" customHeight="1" x14ac:dyDescent="0.15">
      <c r="A295" s="1"/>
    </row>
    <row r="296" spans="1:1" ht="12.75" customHeight="1" x14ac:dyDescent="0.15">
      <c r="A296" s="1"/>
    </row>
    <row r="297" spans="1:1" ht="12.75" customHeight="1" x14ac:dyDescent="0.15">
      <c r="A297" s="1"/>
    </row>
    <row r="298" spans="1:1" ht="12.75" customHeight="1" x14ac:dyDescent="0.15">
      <c r="A298" s="1"/>
    </row>
    <row r="299" spans="1:1" ht="12.75" customHeight="1" x14ac:dyDescent="0.15">
      <c r="A299" s="1"/>
    </row>
    <row r="300" spans="1:1" ht="12.75" customHeight="1" x14ac:dyDescent="0.15">
      <c r="A300" s="1"/>
    </row>
    <row r="301" spans="1:1" ht="12.75" customHeight="1" x14ac:dyDescent="0.15">
      <c r="A301" s="1"/>
    </row>
    <row r="302" spans="1:1" ht="12.75" customHeight="1" x14ac:dyDescent="0.15">
      <c r="A302" s="1"/>
    </row>
    <row r="303" spans="1:1" ht="12.75" customHeight="1" x14ac:dyDescent="0.15">
      <c r="A303" s="1"/>
    </row>
    <row r="304" spans="1:1" ht="12.75" customHeight="1" x14ac:dyDescent="0.15">
      <c r="A304" s="1"/>
    </row>
    <row r="305" spans="1:1" ht="12.75" customHeight="1" x14ac:dyDescent="0.15">
      <c r="A305" s="1"/>
    </row>
    <row r="306" spans="1:1" ht="12.75" customHeight="1" x14ac:dyDescent="0.15">
      <c r="A306" s="1"/>
    </row>
    <row r="307" spans="1:1" ht="12.75" customHeight="1" x14ac:dyDescent="0.15">
      <c r="A307" s="1"/>
    </row>
    <row r="308" spans="1:1" ht="12.75" customHeight="1" x14ac:dyDescent="0.15">
      <c r="A308" s="1"/>
    </row>
    <row r="309" spans="1:1" ht="12.75" customHeight="1" x14ac:dyDescent="0.15">
      <c r="A309" s="1"/>
    </row>
    <row r="310" spans="1:1" ht="12.75" customHeight="1" x14ac:dyDescent="0.15">
      <c r="A310" s="1"/>
    </row>
    <row r="311" spans="1:1" ht="12.75" customHeight="1" x14ac:dyDescent="0.15">
      <c r="A311" s="1"/>
    </row>
    <row r="312" spans="1:1" ht="12.75" customHeight="1" x14ac:dyDescent="0.15">
      <c r="A312" s="1"/>
    </row>
    <row r="313" spans="1:1" ht="12.75" customHeight="1" x14ac:dyDescent="0.15">
      <c r="A313" s="1"/>
    </row>
    <row r="314" spans="1:1" ht="12.75" customHeight="1" x14ac:dyDescent="0.15">
      <c r="A314" s="1"/>
    </row>
    <row r="315" spans="1:1" ht="12.75" customHeight="1" x14ac:dyDescent="0.15">
      <c r="A315" s="1"/>
    </row>
    <row r="316" spans="1:1" ht="12.75" customHeight="1" x14ac:dyDescent="0.15">
      <c r="A316" s="1"/>
    </row>
    <row r="317" spans="1:1" ht="12.75" customHeight="1" x14ac:dyDescent="0.15">
      <c r="A317" s="1"/>
    </row>
    <row r="318" spans="1:1" ht="12.75" customHeight="1" x14ac:dyDescent="0.15">
      <c r="A318" s="1"/>
    </row>
    <row r="319" spans="1:1" ht="12.75" customHeight="1" x14ac:dyDescent="0.15">
      <c r="A319" s="1"/>
    </row>
    <row r="320" spans="1:1" ht="12.75" customHeight="1" x14ac:dyDescent="0.15">
      <c r="A320" s="1"/>
    </row>
    <row r="321" spans="1:1" ht="12.75" customHeight="1" x14ac:dyDescent="0.15">
      <c r="A321" s="1"/>
    </row>
    <row r="322" spans="1:1" ht="12.75" customHeight="1" x14ac:dyDescent="0.15">
      <c r="A322" s="1"/>
    </row>
    <row r="323" spans="1:1" ht="12.75" customHeight="1" x14ac:dyDescent="0.15">
      <c r="A323" s="1"/>
    </row>
    <row r="324" spans="1:1" ht="12.75" customHeight="1" x14ac:dyDescent="0.15">
      <c r="A324" s="1"/>
    </row>
    <row r="325" spans="1:1" ht="12.75" customHeight="1" x14ac:dyDescent="0.15">
      <c r="A325" s="1"/>
    </row>
    <row r="326" spans="1:1" ht="12.75" customHeight="1" x14ac:dyDescent="0.15">
      <c r="A326" s="1"/>
    </row>
    <row r="327" spans="1:1" ht="12.75" customHeight="1" x14ac:dyDescent="0.15">
      <c r="A327" s="1"/>
    </row>
    <row r="328" spans="1:1" ht="12.75" customHeight="1" x14ac:dyDescent="0.15">
      <c r="A328" s="1"/>
    </row>
    <row r="329" spans="1:1" ht="12.75" customHeight="1" x14ac:dyDescent="0.15">
      <c r="A329" s="1"/>
    </row>
    <row r="330" spans="1:1" ht="12.75" customHeight="1" x14ac:dyDescent="0.15">
      <c r="A330" s="1"/>
    </row>
    <row r="331" spans="1:1" ht="12.75" customHeight="1" x14ac:dyDescent="0.15">
      <c r="A331" s="1"/>
    </row>
    <row r="332" spans="1:1" ht="12.75" customHeight="1" x14ac:dyDescent="0.15">
      <c r="A332" s="1"/>
    </row>
    <row r="333" spans="1:1" ht="12.75" customHeight="1" x14ac:dyDescent="0.15">
      <c r="A333" s="1"/>
    </row>
    <row r="334" spans="1:1" ht="12.75" customHeight="1" x14ac:dyDescent="0.15">
      <c r="A334" s="1"/>
    </row>
    <row r="335" spans="1:1" ht="12.75" customHeight="1" x14ac:dyDescent="0.15">
      <c r="A335" s="1"/>
    </row>
    <row r="336" spans="1:1" ht="12.75" customHeight="1" x14ac:dyDescent="0.15">
      <c r="A336" s="1"/>
    </row>
    <row r="337" spans="1:1" ht="12.75" customHeight="1" x14ac:dyDescent="0.15">
      <c r="A337" s="1"/>
    </row>
    <row r="338" spans="1:1" ht="12.75" customHeight="1" x14ac:dyDescent="0.15">
      <c r="A338" s="1"/>
    </row>
    <row r="339" spans="1:1" ht="12.75" customHeight="1" x14ac:dyDescent="0.15">
      <c r="A339" s="1"/>
    </row>
    <row r="340" spans="1:1" ht="12.75" customHeight="1" x14ac:dyDescent="0.15">
      <c r="A340" s="1"/>
    </row>
    <row r="341" spans="1:1" ht="12.75" customHeight="1" x14ac:dyDescent="0.15">
      <c r="A341" s="1"/>
    </row>
    <row r="342" spans="1:1" ht="12.75" customHeight="1" x14ac:dyDescent="0.15">
      <c r="A342" s="1"/>
    </row>
    <row r="343" spans="1:1" ht="12.75" customHeight="1" x14ac:dyDescent="0.15">
      <c r="A343" s="1"/>
    </row>
    <row r="344" spans="1:1" ht="12.75" customHeight="1" x14ac:dyDescent="0.15">
      <c r="A344" s="1"/>
    </row>
    <row r="345" spans="1:1" ht="12.75" customHeight="1" x14ac:dyDescent="0.15">
      <c r="A345" s="1"/>
    </row>
    <row r="346" spans="1:1" ht="12.75" customHeight="1" x14ac:dyDescent="0.15">
      <c r="A346" s="1"/>
    </row>
    <row r="347" spans="1:1" ht="12.75" customHeight="1" x14ac:dyDescent="0.15">
      <c r="A347" s="1"/>
    </row>
    <row r="348" spans="1:1" ht="12.75" customHeight="1" x14ac:dyDescent="0.15">
      <c r="A348" s="1"/>
    </row>
    <row r="349" spans="1:1" ht="12.75" customHeight="1" x14ac:dyDescent="0.15">
      <c r="A349" s="1"/>
    </row>
    <row r="350" spans="1:1" ht="12.75" customHeight="1" x14ac:dyDescent="0.15">
      <c r="A350" s="1"/>
    </row>
    <row r="351" spans="1:1" ht="12.75" customHeight="1" x14ac:dyDescent="0.15">
      <c r="A351" s="1"/>
    </row>
    <row r="352" spans="1:1" ht="12.75" customHeight="1" x14ac:dyDescent="0.15">
      <c r="A352" s="1"/>
    </row>
    <row r="353" spans="1:1" ht="12.75" customHeight="1" x14ac:dyDescent="0.15">
      <c r="A353" s="1"/>
    </row>
    <row r="354" spans="1:1" ht="12.75" customHeight="1" x14ac:dyDescent="0.15">
      <c r="A354" s="1"/>
    </row>
    <row r="355" spans="1:1" ht="12.75" customHeight="1" x14ac:dyDescent="0.15">
      <c r="A355" s="1"/>
    </row>
    <row r="356" spans="1:1" ht="12.75" customHeight="1" x14ac:dyDescent="0.15">
      <c r="A356" s="1"/>
    </row>
    <row r="357" spans="1:1" ht="12.75" customHeight="1" x14ac:dyDescent="0.15">
      <c r="A357" s="1"/>
    </row>
    <row r="358" spans="1:1" ht="12.75" customHeight="1" x14ac:dyDescent="0.15">
      <c r="A358" s="1"/>
    </row>
    <row r="359" spans="1:1" ht="12.75" customHeight="1" x14ac:dyDescent="0.15">
      <c r="A359" s="1"/>
    </row>
    <row r="360" spans="1:1" ht="12.75" customHeight="1" x14ac:dyDescent="0.15">
      <c r="A360" s="1"/>
    </row>
    <row r="361" spans="1:1" ht="12.75" customHeight="1" x14ac:dyDescent="0.15">
      <c r="A361" s="1"/>
    </row>
    <row r="362" spans="1:1" ht="12.75" customHeight="1" x14ac:dyDescent="0.15">
      <c r="A362" s="1"/>
    </row>
    <row r="363" spans="1:1" ht="12.75" customHeight="1" x14ac:dyDescent="0.15">
      <c r="A363" s="1"/>
    </row>
    <row r="364" spans="1:1" ht="12.75" customHeight="1" x14ac:dyDescent="0.15">
      <c r="A364" s="1"/>
    </row>
    <row r="365" spans="1:1" ht="12.75" customHeight="1" x14ac:dyDescent="0.15">
      <c r="A365" s="1"/>
    </row>
    <row r="366" spans="1:1" ht="12.75" customHeight="1" x14ac:dyDescent="0.15">
      <c r="A366" s="1"/>
    </row>
    <row r="367" spans="1:1" ht="12.75" customHeight="1" x14ac:dyDescent="0.15">
      <c r="A367" s="1"/>
    </row>
    <row r="368" spans="1:1" ht="12.75" customHeight="1" x14ac:dyDescent="0.15">
      <c r="A368" s="1"/>
    </row>
    <row r="369" spans="1:1" ht="12.75" customHeight="1" x14ac:dyDescent="0.15">
      <c r="A369" s="1"/>
    </row>
    <row r="370" spans="1:1" ht="12.75" customHeight="1" x14ac:dyDescent="0.15">
      <c r="A370" s="1"/>
    </row>
    <row r="371" spans="1:1" ht="12.75" customHeight="1" x14ac:dyDescent="0.15">
      <c r="A371" s="1"/>
    </row>
    <row r="372" spans="1:1" ht="12.75" customHeight="1" x14ac:dyDescent="0.15">
      <c r="A372" s="1"/>
    </row>
    <row r="373" spans="1:1" ht="12.75" customHeight="1" x14ac:dyDescent="0.15">
      <c r="A373" s="1"/>
    </row>
    <row r="374" spans="1:1" ht="12.75" customHeight="1" x14ac:dyDescent="0.15">
      <c r="A374" s="1"/>
    </row>
    <row r="375" spans="1:1" ht="12.75" customHeight="1" x14ac:dyDescent="0.15">
      <c r="A375" s="1"/>
    </row>
    <row r="376" spans="1:1" ht="12.75" customHeight="1" x14ac:dyDescent="0.15">
      <c r="A376" s="1"/>
    </row>
    <row r="377" spans="1:1" ht="12.75" customHeight="1" x14ac:dyDescent="0.15">
      <c r="A377" s="1"/>
    </row>
    <row r="378" spans="1:1" ht="12.75" customHeight="1" x14ac:dyDescent="0.15">
      <c r="A378" s="1"/>
    </row>
    <row r="379" spans="1:1" ht="12.75" customHeight="1" x14ac:dyDescent="0.15">
      <c r="A379" s="1"/>
    </row>
    <row r="380" spans="1:1" ht="12.75" customHeight="1" x14ac:dyDescent="0.15">
      <c r="A380" s="1"/>
    </row>
    <row r="381" spans="1:1" ht="12.75" customHeight="1" x14ac:dyDescent="0.15">
      <c r="A381" s="1"/>
    </row>
    <row r="382" spans="1:1" ht="12.75" customHeight="1" x14ac:dyDescent="0.15">
      <c r="A382" s="1"/>
    </row>
    <row r="383" spans="1:1" ht="12.75" customHeight="1" x14ac:dyDescent="0.15">
      <c r="A383" s="1"/>
    </row>
    <row r="384" spans="1:1" ht="12.75" customHeight="1" x14ac:dyDescent="0.15">
      <c r="A384" s="1"/>
    </row>
    <row r="385" spans="1:1" ht="12.75" customHeight="1" x14ac:dyDescent="0.15">
      <c r="A385" s="1"/>
    </row>
    <row r="386" spans="1:1" ht="12.75" customHeight="1" x14ac:dyDescent="0.15">
      <c r="A386" s="1"/>
    </row>
    <row r="387" spans="1:1" ht="12.75" customHeight="1" x14ac:dyDescent="0.15">
      <c r="A387" s="1"/>
    </row>
    <row r="388" spans="1:1" ht="12.75" customHeight="1" x14ac:dyDescent="0.15">
      <c r="A388" s="1"/>
    </row>
    <row r="389" spans="1:1" ht="12.75" customHeight="1" x14ac:dyDescent="0.15">
      <c r="A389" s="1"/>
    </row>
    <row r="390" spans="1:1" ht="12.75" customHeight="1" x14ac:dyDescent="0.15">
      <c r="A390" s="1"/>
    </row>
    <row r="391" spans="1:1" ht="12.75" customHeight="1" x14ac:dyDescent="0.15">
      <c r="A391" s="1"/>
    </row>
    <row r="392" spans="1:1" ht="12.75" customHeight="1" x14ac:dyDescent="0.15">
      <c r="A392" s="1"/>
    </row>
    <row r="393" spans="1:1" ht="12.75" customHeight="1" x14ac:dyDescent="0.15">
      <c r="A393" s="1"/>
    </row>
    <row r="394" spans="1:1" ht="12.75" customHeight="1" x14ac:dyDescent="0.15">
      <c r="A394" s="1"/>
    </row>
    <row r="395" spans="1:1" ht="12.75" customHeight="1" x14ac:dyDescent="0.15">
      <c r="A395" s="1"/>
    </row>
    <row r="396" spans="1:1" ht="12.75" customHeight="1" x14ac:dyDescent="0.15">
      <c r="A396" s="1"/>
    </row>
    <row r="397" spans="1:1" ht="12.75" customHeight="1" x14ac:dyDescent="0.15">
      <c r="A397" s="1"/>
    </row>
    <row r="398" spans="1:1" ht="12.75" customHeight="1" x14ac:dyDescent="0.15">
      <c r="A398" s="1"/>
    </row>
    <row r="399" spans="1:1" ht="12.75" customHeight="1" x14ac:dyDescent="0.15">
      <c r="A399" s="1"/>
    </row>
    <row r="400" spans="1:1" ht="12.75" customHeight="1" x14ac:dyDescent="0.15">
      <c r="A400" s="1"/>
    </row>
    <row r="401" spans="1:1" ht="12.75" customHeight="1" x14ac:dyDescent="0.15">
      <c r="A401" s="1"/>
    </row>
    <row r="402" spans="1:1" ht="12.75" customHeight="1" x14ac:dyDescent="0.15">
      <c r="A402" s="1"/>
    </row>
    <row r="403" spans="1:1" ht="12.75" customHeight="1" x14ac:dyDescent="0.15">
      <c r="A403" s="1"/>
    </row>
    <row r="404" spans="1:1" ht="12.75" customHeight="1" x14ac:dyDescent="0.15">
      <c r="A404" s="1"/>
    </row>
    <row r="405" spans="1:1" ht="12.75" customHeight="1" x14ac:dyDescent="0.15">
      <c r="A405" s="1"/>
    </row>
    <row r="406" spans="1:1" ht="12.75" customHeight="1" x14ac:dyDescent="0.15">
      <c r="A406" s="1"/>
    </row>
    <row r="407" spans="1:1" ht="12.75" customHeight="1" x14ac:dyDescent="0.15">
      <c r="A407" s="1"/>
    </row>
    <row r="408" spans="1:1" ht="12.75" customHeight="1" x14ac:dyDescent="0.15">
      <c r="A408" s="1"/>
    </row>
    <row r="409" spans="1:1" ht="12.75" customHeight="1" x14ac:dyDescent="0.15">
      <c r="A409" s="1"/>
    </row>
    <row r="410" spans="1:1" ht="12.75" customHeight="1" x14ac:dyDescent="0.15">
      <c r="A410" s="1"/>
    </row>
    <row r="411" spans="1:1" ht="12.75" customHeight="1" x14ac:dyDescent="0.15">
      <c r="A411" s="1"/>
    </row>
    <row r="412" spans="1:1" ht="12.75" customHeight="1" x14ac:dyDescent="0.15">
      <c r="A412" s="1"/>
    </row>
    <row r="413" spans="1:1" ht="12.75" customHeight="1" x14ac:dyDescent="0.15">
      <c r="A413" s="1"/>
    </row>
    <row r="414" spans="1:1" ht="12.75" customHeight="1" x14ac:dyDescent="0.15">
      <c r="A414" s="1"/>
    </row>
    <row r="415" spans="1:1" ht="12.75" customHeight="1" x14ac:dyDescent="0.15">
      <c r="A415" s="1"/>
    </row>
    <row r="416" spans="1:1" ht="12.75" customHeight="1" x14ac:dyDescent="0.15">
      <c r="A416" s="1"/>
    </row>
    <row r="417" spans="1:1" ht="12.75" customHeight="1" x14ac:dyDescent="0.15">
      <c r="A417" s="1"/>
    </row>
    <row r="418" spans="1:1" ht="12.75" customHeight="1" x14ac:dyDescent="0.15">
      <c r="A418" s="1"/>
    </row>
    <row r="419" spans="1:1" ht="12.75" customHeight="1" x14ac:dyDescent="0.15">
      <c r="A419" s="1"/>
    </row>
    <row r="420" spans="1:1" ht="12.75" customHeight="1" x14ac:dyDescent="0.15">
      <c r="A420" s="1"/>
    </row>
    <row r="421" spans="1:1" ht="12.75" customHeight="1" x14ac:dyDescent="0.15">
      <c r="A421" s="1"/>
    </row>
    <row r="422" spans="1:1" ht="12.75" customHeight="1" x14ac:dyDescent="0.15">
      <c r="A422" s="1"/>
    </row>
    <row r="423" spans="1:1" ht="12.75" customHeight="1" x14ac:dyDescent="0.15">
      <c r="A423" s="1"/>
    </row>
    <row r="424" spans="1:1" ht="12.75" customHeight="1" x14ac:dyDescent="0.15">
      <c r="A424" s="1"/>
    </row>
    <row r="425" spans="1:1" ht="12.75" customHeight="1" x14ac:dyDescent="0.15">
      <c r="A425" s="1"/>
    </row>
    <row r="426" spans="1:1" ht="12.75" customHeight="1" x14ac:dyDescent="0.15">
      <c r="A426" s="1"/>
    </row>
    <row r="427" spans="1:1" ht="12.75" customHeight="1" x14ac:dyDescent="0.15">
      <c r="A427" s="1"/>
    </row>
    <row r="428" spans="1:1" ht="12.75" customHeight="1" x14ac:dyDescent="0.15">
      <c r="A428" s="1"/>
    </row>
    <row r="429" spans="1:1" ht="12.75" customHeight="1" x14ac:dyDescent="0.15">
      <c r="A429" s="1"/>
    </row>
    <row r="430" spans="1:1" ht="12.75" customHeight="1" x14ac:dyDescent="0.15">
      <c r="A430" s="1"/>
    </row>
    <row r="431" spans="1:1" ht="12.75" customHeight="1" x14ac:dyDescent="0.15">
      <c r="A431" s="1"/>
    </row>
    <row r="432" spans="1:1" ht="12.75" customHeight="1" x14ac:dyDescent="0.15">
      <c r="A432" s="1"/>
    </row>
    <row r="433" spans="1:1" ht="12.75" customHeight="1" x14ac:dyDescent="0.15">
      <c r="A433" s="1"/>
    </row>
    <row r="434" spans="1:1" ht="12.75" customHeight="1" x14ac:dyDescent="0.15">
      <c r="A434" s="1"/>
    </row>
    <row r="435" spans="1:1" ht="12.75" customHeight="1" x14ac:dyDescent="0.15">
      <c r="A435" s="1"/>
    </row>
    <row r="436" spans="1:1" ht="12.75" customHeight="1" x14ac:dyDescent="0.15">
      <c r="A436" s="1"/>
    </row>
    <row r="437" spans="1:1" ht="12.75" customHeight="1" x14ac:dyDescent="0.15">
      <c r="A437" s="1"/>
    </row>
    <row r="438" spans="1:1" ht="12.75" customHeight="1" x14ac:dyDescent="0.15">
      <c r="A438" s="1"/>
    </row>
    <row r="439" spans="1:1" ht="12.75" customHeight="1" x14ac:dyDescent="0.15">
      <c r="A439" s="1"/>
    </row>
    <row r="440" spans="1:1" ht="12.75" customHeight="1" x14ac:dyDescent="0.15">
      <c r="A440" s="1"/>
    </row>
    <row r="441" spans="1:1" ht="12.75" customHeight="1" x14ac:dyDescent="0.15">
      <c r="A441" s="1"/>
    </row>
    <row r="442" spans="1:1" ht="12.75" customHeight="1" x14ac:dyDescent="0.15">
      <c r="A442" s="1"/>
    </row>
    <row r="443" spans="1:1" ht="12.75" customHeight="1" x14ac:dyDescent="0.15">
      <c r="A443" s="1"/>
    </row>
    <row r="444" spans="1:1" ht="12.75" customHeight="1" x14ac:dyDescent="0.15">
      <c r="A444" s="1"/>
    </row>
    <row r="445" spans="1:1" ht="12.75" customHeight="1" x14ac:dyDescent="0.15">
      <c r="A445" s="1"/>
    </row>
    <row r="446" spans="1:1" ht="12.75" customHeight="1" x14ac:dyDescent="0.15">
      <c r="A446" s="1"/>
    </row>
    <row r="447" spans="1:1" ht="12.75" customHeight="1" x14ac:dyDescent="0.15">
      <c r="A447" s="1"/>
    </row>
    <row r="448" spans="1:1" ht="12.75" customHeight="1" x14ac:dyDescent="0.15">
      <c r="A448" s="1"/>
    </row>
    <row r="449" spans="1:1" ht="12.75" customHeight="1" x14ac:dyDescent="0.15">
      <c r="A449" s="1"/>
    </row>
    <row r="450" spans="1:1" ht="12.75" customHeight="1" x14ac:dyDescent="0.15">
      <c r="A450" s="1"/>
    </row>
    <row r="451" spans="1:1" ht="12.75" customHeight="1" x14ac:dyDescent="0.15">
      <c r="A451" s="1"/>
    </row>
    <row r="452" spans="1:1" ht="12.75" customHeight="1" x14ac:dyDescent="0.15">
      <c r="A452" s="1"/>
    </row>
    <row r="453" spans="1:1" ht="12.75" customHeight="1" x14ac:dyDescent="0.15">
      <c r="A453" s="1"/>
    </row>
    <row r="454" spans="1:1" ht="12.75" customHeight="1" x14ac:dyDescent="0.15">
      <c r="A454" s="1"/>
    </row>
    <row r="455" spans="1:1" ht="12.75" customHeight="1" x14ac:dyDescent="0.15">
      <c r="A455" s="1"/>
    </row>
    <row r="456" spans="1:1" ht="12.75" customHeight="1" x14ac:dyDescent="0.15">
      <c r="A456" s="1"/>
    </row>
    <row r="457" spans="1:1" ht="12.75" customHeight="1" x14ac:dyDescent="0.15">
      <c r="A457" s="1"/>
    </row>
    <row r="458" spans="1:1" ht="12.75" customHeight="1" x14ac:dyDescent="0.15">
      <c r="A458" s="1"/>
    </row>
    <row r="459" spans="1:1" ht="12.75" customHeight="1" x14ac:dyDescent="0.15">
      <c r="A459" s="1"/>
    </row>
    <row r="460" spans="1:1" ht="12.75" customHeight="1" x14ac:dyDescent="0.15">
      <c r="A460" s="1"/>
    </row>
    <row r="461" spans="1:1" ht="12.75" customHeight="1" x14ac:dyDescent="0.15">
      <c r="A461" s="1"/>
    </row>
    <row r="462" spans="1:1" ht="12.75" customHeight="1" x14ac:dyDescent="0.15">
      <c r="A462" s="1"/>
    </row>
    <row r="463" spans="1:1" ht="12.75" customHeight="1" x14ac:dyDescent="0.15">
      <c r="A463" s="1"/>
    </row>
    <row r="464" spans="1:1" ht="12.75" customHeight="1" x14ac:dyDescent="0.15">
      <c r="A464" s="1"/>
    </row>
    <row r="465" spans="1:1" ht="12.75" customHeight="1" x14ac:dyDescent="0.15">
      <c r="A465" s="1"/>
    </row>
    <row r="466" spans="1:1" ht="12.75" customHeight="1" x14ac:dyDescent="0.15">
      <c r="A466" s="1"/>
    </row>
    <row r="467" spans="1:1" ht="12.75" customHeight="1" x14ac:dyDescent="0.15">
      <c r="A467" s="1"/>
    </row>
    <row r="468" spans="1:1" ht="12.75" customHeight="1" x14ac:dyDescent="0.15">
      <c r="A468" s="1"/>
    </row>
    <row r="469" spans="1:1" ht="12.75" customHeight="1" x14ac:dyDescent="0.15">
      <c r="A469" s="1"/>
    </row>
    <row r="470" spans="1:1" ht="12.75" customHeight="1" x14ac:dyDescent="0.15">
      <c r="A470" s="1"/>
    </row>
    <row r="471" spans="1:1" ht="12.75" customHeight="1" x14ac:dyDescent="0.15">
      <c r="A471" s="1"/>
    </row>
    <row r="472" spans="1:1" ht="12.75" customHeight="1" x14ac:dyDescent="0.15">
      <c r="A472" s="1"/>
    </row>
    <row r="473" spans="1:1" ht="12.75" customHeight="1" x14ac:dyDescent="0.15">
      <c r="A473" s="1"/>
    </row>
    <row r="474" spans="1:1" ht="12.75" customHeight="1" x14ac:dyDescent="0.15">
      <c r="A474" s="1"/>
    </row>
    <row r="475" spans="1:1" ht="12.75" customHeight="1" x14ac:dyDescent="0.15">
      <c r="A475" s="1"/>
    </row>
    <row r="476" spans="1:1" ht="12.75" customHeight="1" x14ac:dyDescent="0.15">
      <c r="A476" s="1"/>
    </row>
    <row r="477" spans="1:1" ht="12.75" customHeight="1" x14ac:dyDescent="0.15">
      <c r="A477" s="1"/>
    </row>
    <row r="478" spans="1:1" ht="12.75" customHeight="1" x14ac:dyDescent="0.15">
      <c r="A478" s="1"/>
    </row>
    <row r="479" spans="1:1" ht="12.75" customHeight="1" x14ac:dyDescent="0.15">
      <c r="A479" s="1"/>
    </row>
    <row r="480" spans="1:1" ht="12.75" customHeight="1" x14ac:dyDescent="0.15">
      <c r="A480" s="1"/>
    </row>
    <row r="481" spans="1:1" ht="12.75" customHeight="1" x14ac:dyDescent="0.15">
      <c r="A481" s="1"/>
    </row>
    <row r="482" spans="1:1" ht="12.75" customHeight="1" x14ac:dyDescent="0.15">
      <c r="A482" s="1"/>
    </row>
    <row r="483" spans="1:1" ht="12.75" customHeight="1" x14ac:dyDescent="0.15">
      <c r="A483" s="1"/>
    </row>
    <row r="484" spans="1:1" ht="12.75" customHeight="1" x14ac:dyDescent="0.15">
      <c r="A484" s="1"/>
    </row>
    <row r="485" spans="1:1" ht="12.75" customHeight="1" x14ac:dyDescent="0.15">
      <c r="A485" s="1"/>
    </row>
    <row r="486" spans="1:1" ht="12.75" customHeight="1" x14ac:dyDescent="0.15">
      <c r="A486" s="1"/>
    </row>
    <row r="487" spans="1:1" ht="12.75" customHeight="1" x14ac:dyDescent="0.15">
      <c r="A487" s="1"/>
    </row>
    <row r="488" spans="1:1" ht="12.75" customHeight="1" x14ac:dyDescent="0.15">
      <c r="A488" s="1"/>
    </row>
    <row r="489" spans="1:1" ht="12.75" customHeight="1" x14ac:dyDescent="0.15">
      <c r="A489" s="1"/>
    </row>
    <row r="490" spans="1:1" ht="12.75" customHeight="1" x14ac:dyDescent="0.15">
      <c r="A490" s="1"/>
    </row>
    <row r="491" spans="1:1" ht="12.75" customHeight="1" x14ac:dyDescent="0.15">
      <c r="A491" s="1"/>
    </row>
    <row r="492" spans="1:1" ht="12.75" customHeight="1" x14ac:dyDescent="0.15">
      <c r="A492" s="1"/>
    </row>
    <row r="493" spans="1:1" ht="12.75" customHeight="1" x14ac:dyDescent="0.15">
      <c r="A493" s="1"/>
    </row>
    <row r="494" spans="1:1" ht="12.75" customHeight="1" x14ac:dyDescent="0.15">
      <c r="A494" s="1"/>
    </row>
    <row r="495" spans="1:1" ht="12.75" customHeight="1" x14ac:dyDescent="0.15">
      <c r="A495" s="1"/>
    </row>
    <row r="496" spans="1:1" ht="12.75" customHeight="1" x14ac:dyDescent="0.15">
      <c r="A496" s="1"/>
    </row>
    <row r="497" spans="1:1" ht="12.75" customHeight="1" x14ac:dyDescent="0.15">
      <c r="A497" s="1"/>
    </row>
    <row r="498" spans="1:1" ht="12.75" customHeight="1" x14ac:dyDescent="0.15">
      <c r="A498" s="1"/>
    </row>
    <row r="499" spans="1:1" ht="12.75" customHeight="1" x14ac:dyDescent="0.15">
      <c r="A499" s="1"/>
    </row>
    <row r="500" spans="1:1" ht="12.75" customHeight="1" x14ac:dyDescent="0.15">
      <c r="A500" s="1"/>
    </row>
    <row r="501" spans="1:1" ht="12.75" customHeight="1" x14ac:dyDescent="0.15">
      <c r="A501" s="1"/>
    </row>
    <row r="502" spans="1:1" ht="12.75" customHeight="1" x14ac:dyDescent="0.15">
      <c r="A502" s="1"/>
    </row>
    <row r="503" spans="1:1" ht="12.75" customHeight="1" x14ac:dyDescent="0.15">
      <c r="A503" s="1"/>
    </row>
    <row r="504" spans="1:1" ht="12.75" customHeight="1" x14ac:dyDescent="0.15">
      <c r="A504" s="1"/>
    </row>
    <row r="505" spans="1:1" ht="12.75" customHeight="1" x14ac:dyDescent="0.15">
      <c r="A505" s="1"/>
    </row>
    <row r="506" spans="1:1" ht="12.75" customHeight="1" x14ac:dyDescent="0.15">
      <c r="A506" s="1"/>
    </row>
    <row r="507" spans="1:1" ht="12.75" customHeight="1" x14ac:dyDescent="0.15">
      <c r="A507" s="1"/>
    </row>
    <row r="508" spans="1:1" ht="12.75" customHeight="1" x14ac:dyDescent="0.15">
      <c r="A508" s="1"/>
    </row>
    <row r="509" spans="1:1" ht="12.75" customHeight="1" x14ac:dyDescent="0.15">
      <c r="A509" s="1"/>
    </row>
    <row r="510" spans="1:1" ht="12.75" customHeight="1" x14ac:dyDescent="0.15">
      <c r="A510" s="1"/>
    </row>
    <row r="511" spans="1:1" ht="12.75" customHeight="1" x14ac:dyDescent="0.15">
      <c r="A511" s="1"/>
    </row>
    <row r="512" spans="1:1" ht="12.75" customHeight="1" x14ac:dyDescent="0.15">
      <c r="A512" s="1"/>
    </row>
    <row r="513" spans="1:1" ht="12.75" customHeight="1" x14ac:dyDescent="0.15">
      <c r="A513" s="1"/>
    </row>
    <row r="514" spans="1:1" ht="12.75" customHeight="1" x14ac:dyDescent="0.15">
      <c r="A514" s="1"/>
    </row>
    <row r="515" spans="1:1" ht="12.75" customHeight="1" x14ac:dyDescent="0.15">
      <c r="A515" s="1"/>
    </row>
    <row r="516" spans="1:1" ht="12.75" customHeight="1" x14ac:dyDescent="0.15">
      <c r="A516" s="1"/>
    </row>
    <row r="517" spans="1:1" ht="12.75" customHeight="1" x14ac:dyDescent="0.15">
      <c r="A517" s="1"/>
    </row>
    <row r="518" spans="1:1" ht="12.75" customHeight="1" x14ac:dyDescent="0.15">
      <c r="A518" s="1"/>
    </row>
    <row r="519" spans="1:1" ht="12.75" customHeight="1" x14ac:dyDescent="0.15">
      <c r="A519" s="1"/>
    </row>
    <row r="520" spans="1:1" ht="12.75" customHeight="1" x14ac:dyDescent="0.15">
      <c r="A520" s="1"/>
    </row>
    <row r="521" spans="1:1" ht="12.75" customHeight="1" x14ac:dyDescent="0.15">
      <c r="A521" s="1"/>
    </row>
    <row r="522" spans="1:1" ht="12.75" customHeight="1" x14ac:dyDescent="0.15">
      <c r="A522" s="1"/>
    </row>
    <row r="523" spans="1:1" ht="12.75" customHeight="1" x14ac:dyDescent="0.15">
      <c r="A523" s="1"/>
    </row>
    <row r="524" spans="1:1" ht="12.75" customHeight="1" x14ac:dyDescent="0.15">
      <c r="A524" s="1"/>
    </row>
    <row r="525" spans="1:1" ht="12.75" customHeight="1" x14ac:dyDescent="0.15">
      <c r="A525" s="1"/>
    </row>
    <row r="526" spans="1:1" ht="12.75" customHeight="1" x14ac:dyDescent="0.15">
      <c r="A526" s="1"/>
    </row>
    <row r="527" spans="1:1" ht="12.75" customHeight="1" x14ac:dyDescent="0.15">
      <c r="A527" s="1"/>
    </row>
    <row r="528" spans="1:1" ht="12.75" customHeight="1" x14ac:dyDescent="0.15">
      <c r="A528" s="1"/>
    </row>
    <row r="529" spans="1:1" ht="12.75" customHeight="1" x14ac:dyDescent="0.15">
      <c r="A529" s="1"/>
    </row>
    <row r="530" spans="1:1" ht="12.75" customHeight="1" x14ac:dyDescent="0.15">
      <c r="A530" s="1"/>
    </row>
    <row r="531" spans="1:1" ht="12.75" customHeight="1" x14ac:dyDescent="0.15">
      <c r="A531" s="1"/>
    </row>
    <row r="532" spans="1:1" ht="12.75" customHeight="1" x14ac:dyDescent="0.15">
      <c r="A532" s="1"/>
    </row>
    <row r="533" spans="1:1" ht="12.75" customHeight="1" x14ac:dyDescent="0.15">
      <c r="A533" s="1"/>
    </row>
    <row r="534" spans="1:1" ht="12.75" customHeight="1" x14ac:dyDescent="0.15">
      <c r="A534" s="1"/>
    </row>
    <row r="535" spans="1:1" ht="12.75" customHeight="1" x14ac:dyDescent="0.15">
      <c r="A535" s="1"/>
    </row>
    <row r="536" spans="1:1" ht="12.75" customHeight="1" x14ac:dyDescent="0.15">
      <c r="A536" s="1"/>
    </row>
    <row r="537" spans="1:1" ht="12.75" customHeight="1" x14ac:dyDescent="0.15">
      <c r="A537" s="1"/>
    </row>
    <row r="538" spans="1:1" ht="12.75" customHeight="1" x14ac:dyDescent="0.15">
      <c r="A538" s="1"/>
    </row>
    <row r="539" spans="1:1" ht="12.75" customHeight="1" x14ac:dyDescent="0.15">
      <c r="A539" s="1"/>
    </row>
    <row r="540" spans="1:1" ht="12.75" customHeight="1" x14ac:dyDescent="0.15">
      <c r="A540" s="1"/>
    </row>
    <row r="541" spans="1:1" ht="12.75" customHeight="1" x14ac:dyDescent="0.15">
      <c r="A541" s="1"/>
    </row>
    <row r="542" spans="1:1" ht="12.75" customHeight="1" x14ac:dyDescent="0.15">
      <c r="A542" s="1"/>
    </row>
    <row r="543" spans="1:1" ht="12.75" customHeight="1" x14ac:dyDescent="0.15">
      <c r="A543" s="1"/>
    </row>
    <row r="544" spans="1:1" ht="12.75" customHeight="1" x14ac:dyDescent="0.15">
      <c r="A544" s="1"/>
    </row>
    <row r="545" spans="1:1" ht="12.75" customHeight="1" x14ac:dyDescent="0.15">
      <c r="A545" s="1"/>
    </row>
    <row r="546" spans="1:1" ht="12.75" customHeight="1" x14ac:dyDescent="0.15">
      <c r="A546" s="1"/>
    </row>
    <row r="547" spans="1:1" ht="12.75" customHeight="1" x14ac:dyDescent="0.15">
      <c r="A547" s="1"/>
    </row>
    <row r="548" spans="1:1" ht="12.75" customHeight="1" x14ac:dyDescent="0.15">
      <c r="A548" s="1"/>
    </row>
    <row r="549" spans="1:1" ht="12.75" customHeight="1" x14ac:dyDescent="0.15">
      <c r="A549" s="1"/>
    </row>
    <row r="550" spans="1:1" ht="12.75" customHeight="1" x14ac:dyDescent="0.15">
      <c r="A550" s="1"/>
    </row>
    <row r="551" spans="1:1" ht="12.75" customHeight="1" x14ac:dyDescent="0.15">
      <c r="A551" s="1"/>
    </row>
    <row r="552" spans="1:1" ht="12.75" customHeight="1" x14ac:dyDescent="0.15">
      <c r="A552" s="1"/>
    </row>
    <row r="553" spans="1:1" ht="12.75" customHeight="1" x14ac:dyDescent="0.15">
      <c r="A553" s="1"/>
    </row>
    <row r="554" spans="1:1" ht="12.75" customHeight="1" x14ac:dyDescent="0.15">
      <c r="A554" s="1"/>
    </row>
    <row r="555" spans="1:1" ht="12.75" customHeight="1" x14ac:dyDescent="0.15">
      <c r="A555" s="1"/>
    </row>
    <row r="556" spans="1:1" ht="12.75" customHeight="1" x14ac:dyDescent="0.15">
      <c r="A556" s="1"/>
    </row>
    <row r="557" spans="1:1" ht="12.75" customHeight="1" x14ac:dyDescent="0.15">
      <c r="A557" s="1"/>
    </row>
    <row r="558" spans="1:1" ht="12.75" customHeight="1" x14ac:dyDescent="0.15">
      <c r="A558" s="1"/>
    </row>
    <row r="559" spans="1:1" ht="12.75" customHeight="1" x14ac:dyDescent="0.15">
      <c r="A559" s="1"/>
    </row>
    <row r="560" spans="1:1" ht="12.75" customHeight="1" x14ac:dyDescent="0.15">
      <c r="A560" s="1"/>
    </row>
    <row r="561" spans="1:1" ht="12.75" customHeight="1" x14ac:dyDescent="0.15">
      <c r="A561" s="1"/>
    </row>
    <row r="562" spans="1:1" ht="12.75" customHeight="1" x14ac:dyDescent="0.15">
      <c r="A562" s="1"/>
    </row>
    <row r="563" spans="1:1" ht="12.75" customHeight="1" x14ac:dyDescent="0.15">
      <c r="A563" s="1"/>
    </row>
    <row r="564" spans="1:1" ht="12.75" customHeight="1" x14ac:dyDescent="0.15">
      <c r="A564" s="1"/>
    </row>
    <row r="565" spans="1:1" ht="12.75" customHeight="1" x14ac:dyDescent="0.15">
      <c r="A565" s="1"/>
    </row>
    <row r="566" spans="1:1" ht="12.75" customHeight="1" x14ac:dyDescent="0.15">
      <c r="A566" s="1"/>
    </row>
    <row r="567" spans="1:1" ht="12.75" customHeight="1" x14ac:dyDescent="0.15">
      <c r="A567" s="1"/>
    </row>
    <row r="568" spans="1:1" ht="12.75" customHeight="1" x14ac:dyDescent="0.15">
      <c r="A568" s="1"/>
    </row>
    <row r="569" spans="1:1" ht="12.75" customHeight="1" x14ac:dyDescent="0.15">
      <c r="A569" s="1"/>
    </row>
    <row r="570" spans="1:1" ht="12.75" customHeight="1" x14ac:dyDescent="0.15">
      <c r="A570" s="1"/>
    </row>
    <row r="571" spans="1:1" ht="12.75" customHeight="1" x14ac:dyDescent="0.15">
      <c r="A571" s="1"/>
    </row>
    <row r="572" spans="1:1" ht="12.75" customHeight="1" x14ac:dyDescent="0.15">
      <c r="A572" s="1"/>
    </row>
    <row r="573" spans="1:1" ht="12.75" customHeight="1" x14ac:dyDescent="0.15">
      <c r="A573" s="1"/>
    </row>
    <row r="574" spans="1:1" ht="12.75" customHeight="1" x14ac:dyDescent="0.15">
      <c r="A574" s="1"/>
    </row>
    <row r="575" spans="1:1" ht="12.75" customHeight="1" x14ac:dyDescent="0.15">
      <c r="A575" s="1"/>
    </row>
    <row r="576" spans="1:1" ht="12.75" customHeight="1" x14ac:dyDescent="0.15">
      <c r="A576" s="1"/>
    </row>
    <row r="577" spans="1:1" ht="12.75" customHeight="1" x14ac:dyDescent="0.15">
      <c r="A577" s="1"/>
    </row>
    <row r="578" spans="1:1" ht="12.75" customHeight="1" x14ac:dyDescent="0.15">
      <c r="A578" s="1"/>
    </row>
    <row r="579" spans="1:1" ht="12.75" customHeight="1" x14ac:dyDescent="0.15">
      <c r="A579" s="1"/>
    </row>
    <row r="580" spans="1:1" ht="12.75" customHeight="1" x14ac:dyDescent="0.15">
      <c r="A580" s="1"/>
    </row>
    <row r="581" spans="1:1" ht="12.75" customHeight="1" x14ac:dyDescent="0.15">
      <c r="A581" s="1"/>
    </row>
    <row r="582" spans="1:1" ht="12.75" customHeight="1" x14ac:dyDescent="0.15">
      <c r="A582" s="1"/>
    </row>
    <row r="583" spans="1:1" ht="12.75" customHeight="1" x14ac:dyDescent="0.15">
      <c r="A583" s="1"/>
    </row>
    <row r="584" spans="1:1" ht="12.75" customHeight="1" x14ac:dyDescent="0.15">
      <c r="A584" s="1"/>
    </row>
    <row r="585" spans="1:1" ht="12.75" customHeight="1" x14ac:dyDescent="0.15">
      <c r="A585" s="1"/>
    </row>
    <row r="586" spans="1:1" ht="12.75" customHeight="1" x14ac:dyDescent="0.15">
      <c r="A586" s="1"/>
    </row>
    <row r="587" spans="1:1" ht="12.75" customHeight="1" x14ac:dyDescent="0.15">
      <c r="A587" s="1"/>
    </row>
    <row r="588" spans="1:1" ht="12.75" customHeight="1" x14ac:dyDescent="0.15">
      <c r="A588" s="1"/>
    </row>
    <row r="589" spans="1:1" ht="12.75" customHeight="1" x14ac:dyDescent="0.15">
      <c r="A589" s="1"/>
    </row>
    <row r="590" spans="1:1" ht="12.75" customHeight="1" x14ac:dyDescent="0.15">
      <c r="A590" s="1"/>
    </row>
    <row r="591" spans="1:1" ht="12.75" customHeight="1" x14ac:dyDescent="0.15">
      <c r="A591" s="1"/>
    </row>
    <row r="592" spans="1:1" ht="12.75" customHeight="1" x14ac:dyDescent="0.15">
      <c r="A592" s="1"/>
    </row>
    <row r="593" spans="1:1" ht="12.75" customHeight="1" x14ac:dyDescent="0.15">
      <c r="A593" s="1"/>
    </row>
    <row r="594" spans="1:1" ht="12.75" customHeight="1" x14ac:dyDescent="0.15">
      <c r="A594" s="1"/>
    </row>
    <row r="595" spans="1:1" ht="12.75" customHeight="1" x14ac:dyDescent="0.15">
      <c r="A595" s="1"/>
    </row>
    <row r="596" spans="1:1" ht="12.75" customHeight="1" x14ac:dyDescent="0.15">
      <c r="A596" s="1"/>
    </row>
    <row r="597" spans="1:1" ht="12.75" customHeight="1" x14ac:dyDescent="0.15">
      <c r="A597" s="1"/>
    </row>
    <row r="598" spans="1:1" ht="12.75" customHeight="1" x14ac:dyDescent="0.15">
      <c r="A598" s="1"/>
    </row>
    <row r="599" spans="1:1" ht="12.75" customHeight="1" x14ac:dyDescent="0.15">
      <c r="A599" s="1"/>
    </row>
    <row r="600" spans="1:1" ht="12.75" customHeight="1" x14ac:dyDescent="0.15">
      <c r="A600" s="1"/>
    </row>
    <row r="601" spans="1:1" ht="12.75" customHeight="1" x14ac:dyDescent="0.15">
      <c r="A601" s="1"/>
    </row>
    <row r="602" spans="1:1" ht="12.75" customHeight="1" x14ac:dyDescent="0.15">
      <c r="A602" s="1"/>
    </row>
    <row r="603" spans="1:1" ht="12.75" customHeight="1" x14ac:dyDescent="0.15">
      <c r="A603" s="1"/>
    </row>
    <row r="604" spans="1:1" ht="12.75" customHeight="1" x14ac:dyDescent="0.15">
      <c r="A604" s="1"/>
    </row>
    <row r="605" spans="1:1" ht="12.75" customHeight="1" x14ac:dyDescent="0.15">
      <c r="A605" s="1"/>
    </row>
    <row r="606" spans="1:1" ht="12.75" customHeight="1" x14ac:dyDescent="0.15">
      <c r="A606" s="1"/>
    </row>
    <row r="607" spans="1:1" ht="12.75" customHeight="1" x14ac:dyDescent="0.15">
      <c r="A607" s="1"/>
    </row>
    <row r="608" spans="1:1" ht="12.75" customHeight="1" x14ac:dyDescent="0.15">
      <c r="A608" s="1"/>
    </row>
    <row r="609" spans="1:1" ht="12.75" customHeight="1" x14ac:dyDescent="0.15">
      <c r="A609" s="1"/>
    </row>
    <row r="610" spans="1:1" ht="12.75" customHeight="1" x14ac:dyDescent="0.15">
      <c r="A610" s="1"/>
    </row>
    <row r="611" spans="1:1" ht="12.75" customHeight="1" x14ac:dyDescent="0.15">
      <c r="A611" s="1"/>
    </row>
    <row r="612" spans="1:1" ht="12.75" customHeight="1" x14ac:dyDescent="0.15">
      <c r="A612" s="1"/>
    </row>
    <row r="613" spans="1:1" ht="12.75" customHeight="1" x14ac:dyDescent="0.15">
      <c r="A613" s="1"/>
    </row>
    <row r="614" spans="1:1" ht="12.75" customHeight="1" x14ac:dyDescent="0.15">
      <c r="A614" s="1"/>
    </row>
    <row r="615" spans="1:1" ht="12.75" customHeight="1" x14ac:dyDescent="0.15">
      <c r="A615" s="1"/>
    </row>
    <row r="616" spans="1:1" ht="12.75" customHeight="1" x14ac:dyDescent="0.15">
      <c r="A616" s="1"/>
    </row>
    <row r="617" spans="1:1" ht="12.75" customHeight="1" x14ac:dyDescent="0.15">
      <c r="A617" s="1"/>
    </row>
    <row r="618" spans="1:1" ht="12.75" customHeight="1" x14ac:dyDescent="0.15">
      <c r="A618" s="1"/>
    </row>
    <row r="619" spans="1:1" ht="12.75" customHeight="1" x14ac:dyDescent="0.15">
      <c r="A619" s="1"/>
    </row>
    <row r="620" spans="1:1" ht="12.75" customHeight="1" x14ac:dyDescent="0.15">
      <c r="A620" s="1"/>
    </row>
    <row r="621" spans="1:1" ht="12.75" customHeight="1" x14ac:dyDescent="0.15">
      <c r="A621" s="1"/>
    </row>
    <row r="622" spans="1:1" ht="12.75" customHeight="1" x14ac:dyDescent="0.15">
      <c r="A622" s="1"/>
    </row>
    <row r="623" spans="1:1" ht="12.75" customHeight="1" x14ac:dyDescent="0.15">
      <c r="A623" s="1"/>
    </row>
    <row r="624" spans="1:1" ht="12.75" customHeight="1" x14ac:dyDescent="0.15">
      <c r="A624" s="1"/>
    </row>
    <row r="625" spans="1:1" ht="12.75" customHeight="1" x14ac:dyDescent="0.15">
      <c r="A625" s="1"/>
    </row>
    <row r="626" spans="1:1" ht="12.75" customHeight="1" x14ac:dyDescent="0.15">
      <c r="A626" s="1"/>
    </row>
    <row r="627" spans="1:1" ht="12.75" customHeight="1" x14ac:dyDescent="0.15">
      <c r="A627" s="1"/>
    </row>
    <row r="628" spans="1:1" ht="12.75" customHeight="1" x14ac:dyDescent="0.15">
      <c r="A628" s="1"/>
    </row>
    <row r="629" spans="1:1" ht="12.75" customHeight="1" x14ac:dyDescent="0.15">
      <c r="A629" s="1"/>
    </row>
    <row r="630" spans="1:1" ht="12.75" customHeight="1" x14ac:dyDescent="0.15">
      <c r="A630" s="1"/>
    </row>
    <row r="631" spans="1:1" ht="12.75" customHeight="1" x14ac:dyDescent="0.15">
      <c r="A631" s="1"/>
    </row>
    <row r="632" spans="1:1" ht="12.75" customHeight="1" x14ac:dyDescent="0.15">
      <c r="A632" s="1"/>
    </row>
    <row r="633" spans="1:1" ht="12.75" customHeight="1" x14ac:dyDescent="0.15">
      <c r="A633" s="1"/>
    </row>
    <row r="634" spans="1:1" ht="12.75" customHeight="1" x14ac:dyDescent="0.15">
      <c r="A634" s="1"/>
    </row>
    <row r="635" spans="1:1" ht="12.75" customHeight="1" x14ac:dyDescent="0.15">
      <c r="A635" s="1"/>
    </row>
    <row r="636" spans="1:1" ht="12.75" customHeight="1" x14ac:dyDescent="0.15">
      <c r="A636" s="1"/>
    </row>
    <row r="637" spans="1:1" ht="12.75" customHeight="1" x14ac:dyDescent="0.15">
      <c r="A637" s="1"/>
    </row>
    <row r="638" spans="1:1" ht="12.75" customHeight="1" x14ac:dyDescent="0.15">
      <c r="A638" s="1"/>
    </row>
    <row r="639" spans="1:1" ht="12.75" customHeight="1" x14ac:dyDescent="0.15">
      <c r="A639" s="1"/>
    </row>
    <row r="640" spans="1:1" ht="12.75" customHeight="1" x14ac:dyDescent="0.15">
      <c r="A640" s="1"/>
    </row>
    <row r="641" spans="1:1" ht="12.75" customHeight="1" x14ac:dyDescent="0.15">
      <c r="A641" s="1"/>
    </row>
    <row r="642" spans="1:1" ht="12.75" customHeight="1" x14ac:dyDescent="0.15">
      <c r="A642" s="1"/>
    </row>
    <row r="643" spans="1:1" ht="12.75" customHeight="1" x14ac:dyDescent="0.15">
      <c r="A643" s="1"/>
    </row>
    <row r="644" spans="1:1" ht="12.75" customHeight="1" x14ac:dyDescent="0.15">
      <c r="A644" s="1"/>
    </row>
    <row r="645" spans="1:1" ht="12.75" customHeight="1" x14ac:dyDescent="0.15">
      <c r="A645" s="1"/>
    </row>
    <row r="646" spans="1:1" ht="12.75" customHeight="1" x14ac:dyDescent="0.15">
      <c r="A646" s="1"/>
    </row>
    <row r="647" spans="1:1" ht="12.75" customHeight="1" x14ac:dyDescent="0.15">
      <c r="A647" s="1"/>
    </row>
    <row r="648" spans="1:1" ht="12.75" customHeight="1" x14ac:dyDescent="0.15">
      <c r="A648" s="1"/>
    </row>
    <row r="649" spans="1:1" ht="12.75" customHeight="1" x14ac:dyDescent="0.15">
      <c r="A649" s="1"/>
    </row>
    <row r="650" spans="1:1" ht="12.75" customHeight="1" x14ac:dyDescent="0.15">
      <c r="A650" s="1"/>
    </row>
    <row r="651" spans="1:1" ht="12.75" customHeight="1" x14ac:dyDescent="0.15">
      <c r="A651" s="1"/>
    </row>
    <row r="652" spans="1:1" ht="12.75" customHeight="1" x14ac:dyDescent="0.15">
      <c r="A652" s="1"/>
    </row>
    <row r="653" spans="1:1" ht="12.75" customHeight="1" x14ac:dyDescent="0.15">
      <c r="A653" s="1"/>
    </row>
    <row r="654" spans="1:1" ht="12.75" customHeight="1" x14ac:dyDescent="0.15">
      <c r="A654" s="1"/>
    </row>
    <row r="655" spans="1:1" ht="12.75" customHeight="1" x14ac:dyDescent="0.15">
      <c r="A655" s="1"/>
    </row>
    <row r="656" spans="1:1" ht="12.75" customHeight="1" x14ac:dyDescent="0.15">
      <c r="A656" s="1"/>
    </row>
    <row r="657" spans="1:1" ht="12.75" customHeight="1" x14ac:dyDescent="0.15">
      <c r="A657" s="1"/>
    </row>
    <row r="658" spans="1:1" ht="12.75" customHeight="1" x14ac:dyDescent="0.15">
      <c r="A658" s="1"/>
    </row>
    <row r="659" spans="1:1" ht="12.75" customHeight="1" x14ac:dyDescent="0.15">
      <c r="A659" s="1"/>
    </row>
    <row r="660" spans="1:1" ht="12.75" customHeight="1" x14ac:dyDescent="0.15">
      <c r="A660" s="1"/>
    </row>
    <row r="661" spans="1:1" ht="12.75" customHeight="1" x14ac:dyDescent="0.15">
      <c r="A661" s="1"/>
    </row>
    <row r="662" spans="1:1" ht="12.75" customHeight="1" x14ac:dyDescent="0.15">
      <c r="A662" s="1"/>
    </row>
    <row r="663" spans="1:1" ht="12.75" customHeight="1" x14ac:dyDescent="0.15">
      <c r="A663" s="1"/>
    </row>
    <row r="664" spans="1:1" ht="12.75" customHeight="1" x14ac:dyDescent="0.15">
      <c r="A664" s="1"/>
    </row>
    <row r="665" spans="1:1" ht="12.75" customHeight="1" x14ac:dyDescent="0.15">
      <c r="A665" s="1"/>
    </row>
    <row r="666" spans="1:1" ht="12.75" customHeight="1" x14ac:dyDescent="0.15">
      <c r="A666" s="1"/>
    </row>
    <row r="667" spans="1:1" ht="12.75" customHeight="1" x14ac:dyDescent="0.15">
      <c r="A667" s="1"/>
    </row>
    <row r="668" spans="1:1" ht="12.75" customHeight="1" x14ac:dyDescent="0.15">
      <c r="A668" s="1"/>
    </row>
    <row r="669" spans="1:1" ht="12.75" customHeight="1" x14ac:dyDescent="0.15">
      <c r="A669" s="1"/>
    </row>
    <row r="670" spans="1:1" ht="12.75" customHeight="1" x14ac:dyDescent="0.15">
      <c r="A670" s="1"/>
    </row>
    <row r="671" spans="1:1" ht="12.75" customHeight="1" x14ac:dyDescent="0.15">
      <c r="A671" s="1"/>
    </row>
    <row r="672" spans="1:1" ht="12.75" customHeight="1" x14ac:dyDescent="0.15">
      <c r="A672" s="1"/>
    </row>
    <row r="673" spans="1:1" ht="12.75" customHeight="1" x14ac:dyDescent="0.15">
      <c r="A673" s="1"/>
    </row>
    <row r="674" spans="1:1" ht="12.75" customHeight="1" x14ac:dyDescent="0.15">
      <c r="A674" s="1"/>
    </row>
    <row r="675" spans="1:1" ht="12.75" customHeight="1" x14ac:dyDescent="0.15">
      <c r="A675" s="1"/>
    </row>
    <row r="676" spans="1:1" ht="12.75" customHeight="1" x14ac:dyDescent="0.15">
      <c r="A676" s="1"/>
    </row>
    <row r="677" spans="1:1" ht="12.75" customHeight="1" x14ac:dyDescent="0.15">
      <c r="A677" s="1"/>
    </row>
    <row r="678" spans="1:1" ht="12.75" customHeight="1" x14ac:dyDescent="0.15">
      <c r="A678" s="1"/>
    </row>
    <row r="679" spans="1:1" ht="12.75" customHeight="1" x14ac:dyDescent="0.15">
      <c r="A679" s="1"/>
    </row>
    <row r="680" spans="1:1" ht="12.75" customHeight="1" x14ac:dyDescent="0.15">
      <c r="A680" s="1"/>
    </row>
    <row r="681" spans="1:1" ht="12.75" customHeight="1" x14ac:dyDescent="0.15">
      <c r="A681" s="1"/>
    </row>
    <row r="682" spans="1:1" ht="12.75" customHeight="1" x14ac:dyDescent="0.15">
      <c r="A682" s="1"/>
    </row>
    <row r="683" spans="1:1" ht="12.75" customHeight="1" x14ac:dyDescent="0.15">
      <c r="A683" s="1"/>
    </row>
    <row r="684" spans="1:1" ht="12.75" customHeight="1" x14ac:dyDescent="0.15">
      <c r="A684" s="1"/>
    </row>
    <row r="685" spans="1:1" ht="12.75" customHeight="1" x14ac:dyDescent="0.15">
      <c r="A685" s="1"/>
    </row>
    <row r="686" spans="1:1" ht="12.75" customHeight="1" x14ac:dyDescent="0.15">
      <c r="A686" s="1"/>
    </row>
    <row r="687" spans="1:1" ht="12.75" customHeight="1" x14ac:dyDescent="0.15">
      <c r="A687" s="1"/>
    </row>
    <row r="688" spans="1:1" ht="12.75" customHeight="1" x14ac:dyDescent="0.15">
      <c r="A688" s="1"/>
    </row>
    <row r="689" spans="1:1" ht="12.75" customHeight="1" x14ac:dyDescent="0.15">
      <c r="A689" s="1"/>
    </row>
    <row r="690" spans="1:1" ht="12.75" customHeight="1" x14ac:dyDescent="0.15">
      <c r="A690" s="1"/>
    </row>
    <row r="691" spans="1:1" ht="12.75" customHeight="1" x14ac:dyDescent="0.15">
      <c r="A691" s="1"/>
    </row>
    <row r="692" spans="1:1" ht="12.75" customHeight="1" x14ac:dyDescent="0.15">
      <c r="A692" s="1"/>
    </row>
    <row r="693" spans="1:1" ht="12.75" customHeight="1" x14ac:dyDescent="0.15">
      <c r="A693" s="1"/>
    </row>
    <row r="694" spans="1:1" ht="12.75" customHeight="1" x14ac:dyDescent="0.15">
      <c r="A694" s="1"/>
    </row>
    <row r="695" spans="1:1" ht="12.75" customHeight="1" x14ac:dyDescent="0.15">
      <c r="A695" s="1"/>
    </row>
    <row r="696" spans="1:1" ht="12.75" customHeight="1" x14ac:dyDescent="0.15">
      <c r="A696" s="1"/>
    </row>
    <row r="697" spans="1:1" ht="12.75" customHeight="1" x14ac:dyDescent="0.15">
      <c r="A697" s="1"/>
    </row>
    <row r="698" spans="1:1" ht="12.75" customHeight="1" x14ac:dyDescent="0.15">
      <c r="A698" s="1"/>
    </row>
    <row r="699" spans="1:1" ht="12.75" customHeight="1" x14ac:dyDescent="0.15">
      <c r="A699" s="1"/>
    </row>
    <row r="700" spans="1:1" ht="12.75" customHeight="1" x14ac:dyDescent="0.15">
      <c r="A700" s="1"/>
    </row>
    <row r="701" spans="1:1" ht="12.75" customHeight="1" x14ac:dyDescent="0.15">
      <c r="A701" s="1"/>
    </row>
    <row r="702" spans="1:1" ht="12.75" customHeight="1" x14ac:dyDescent="0.15">
      <c r="A702" s="1"/>
    </row>
    <row r="703" spans="1:1" ht="12.75" customHeight="1" x14ac:dyDescent="0.15">
      <c r="A703" s="1"/>
    </row>
    <row r="704" spans="1:1" ht="12.75" customHeight="1" x14ac:dyDescent="0.15">
      <c r="A704" s="1"/>
    </row>
    <row r="705" spans="1:1" ht="12.75" customHeight="1" x14ac:dyDescent="0.15">
      <c r="A705" s="1"/>
    </row>
    <row r="706" spans="1:1" ht="12.75" customHeight="1" x14ac:dyDescent="0.15">
      <c r="A706" s="1"/>
    </row>
    <row r="707" spans="1:1" ht="12.75" customHeight="1" x14ac:dyDescent="0.15">
      <c r="A707" s="1"/>
    </row>
    <row r="708" spans="1:1" ht="12.75" customHeight="1" x14ac:dyDescent="0.15">
      <c r="A708" s="1"/>
    </row>
    <row r="709" spans="1:1" ht="12.75" customHeight="1" x14ac:dyDescent="0.15">
      <c r="A709" s="1"/>
    </row>
    <row r="710" spans="1:1" ht="12.75" customHeight="1" x14ac:dyDescent="0.15">
      <c r="A710" s="1"/>
    </row>
    <row r="711" spans="1:1" ht="12.75" customHeight="1" x14ac:dyDescent="0.15">
      <c r="A711" s="1"/>
    </row>
    <row r="712" spans="1:1" ht="12.75" customHeight="1" x14ac:dyDescent="0.15">
      <c r="A712" s="1"/>
    </row>
    <row r="713" spans="1:1" ht="12.75" customHeight="1" x14ac:dyDescent="0.15">
      <c r="A713" s="1"/>
    </row>
    <row r="714" spans="1:1" ht="12.75" customHeight="1" x14ac:dyDescent="0.15">
      <c r="A714" s="1"/>
    </row>
    <row r="715" spans="1:1" ht="12.75" customHeight="1" x14ac:dyDescent="0.15">
      <c r="A715" s="1"/>
    </row>
    <row r="716" spans="1:1" ht="12.75" customHeight="1" x14ac:dyDescent="0.15">
      <c r="A716" s="1"/>
    </row>
    <row r="717" spans="1:1" ht="12.75" customHeight="1" x14ac:dyDescent="0.15">
      <c r="A717" s="1"/>
    </row>
    <row r="718" spans="1:1" ht="12.75" customHeight="1" x14ac:dyDescent="0.15">
      <c r="A718" s="1"/>
    </row>
    <row r="719" spans="1:1" ht="12.75" customHeight="1" x14ac:dyDescent="0.15">
      <c r="A719" s="1"/>
    </row>
    <row r="720" spans="1:1" ht="12.75" customHeight="1" x14ac:dyDescent="0.15">
      <c r="A720" s="1"/>
    </row>
    <row r="721" spans="1:1" ht="12.75" customHeight="1" x14ac:dyDescent="0.15">
      <c r="A721" s="1"/>
    </row>
    <row r="722" spans="1:1" ht="12.75" customHeight="1" x14ac:dyDescent="0.15">
      <c r="A722" s="1"/>
    </row>
    <row r="723" spans="1:1" ht="12.75" customHeight="1" x14ac:dyDescent="0.15">
      <c r="A723" s="1"/>
    </row>
    <row r="724" spans="1:1" ht="12.75" customHeight="1" x14ac:dyDescent="0.15">
      <c r="A724" s="1"/>
    </row>
    <row r="725" spans="1:1" ht="12.75" customHeight="1" x14ac:dyDescent="0.15">
      <c r="A725" s="1"/>
    </row>
    <row r="726" spans="1:1" ht="12.75" customHeight="1" x14ac:dyDescent="0.15">
      <c r="A726" s="1"/>
    </row>
    <row r="727" spans="1:1" ht="12.75" customHeight="1" x14ac:dyDescent="0.15">
      <c r="A727" s="1"/>
    </row>
    <row r="728" spans="1:1" ht="12.75" customHeight="1" x14ac:dyDescent="0.15">
      <c r="A728" s="1"/>
    </row>
    <row r="729" spans="1:1" ht="12.75" customHeight="1" x14ac:dyDescent="0.15">
      <c r="A729" s="1"/>
    </row>
    <row r="730" spans="1:1" ht="12.75" customHeight="1" x14ac:dyDescent="0.15">
      <c r="A730" s="1"/>
    </row>
    <row r="731" spans="1:1" ht="12.75" customHeight="1" x14ac:dyDescent="0.15">
      <c r="A731" s="1"/>
    </row>
    <row r="732" spans="1:1" ht="12.75" customHeight="1" x14ac:dyDescent="0.15">
      <c r="A732" s="1"/>
    </row>
    <row r="733" spans="1:1" ht="12.75" customHeight="1" x14ac:dyDescent="0.15">
      <c r="A733" s="1"/>
    </row>
    <row r="734" spans="1:1" ht="12.75" customHeight="1" x14ac:dyDescent="0.15">
      <c r="A734" s="1"/>
    </row>
    <row r="735" spans="1:1" ht="12.75" customHeight="1" x14ac:dyDescent="0.15">
      <c r="A735" s="1"/>
    </row>
    <row r="736" spans="1:1" ht="12.75" customHeight="1" x14ac:dyDescent="0.15">
      <c r="A736" s="1"/>
    </row>
    <row r="737" spans="1:1" ht="12.75" customHeight="1" x14ac:dyDescent="0.15">
      <c r="A737" s="1"/>
    </row>
    <row r="738" spans="1:1" ht="12.75" customHeight="1" x14ac:dyDescent="0.15">
      <c r="A738" s="1"/>
    </row>
    <row r="739" spans="1:1" ht="12.75" customHeight="1" x14ac:dyDescent="0.15">
      <c r="A739" s="1"/>
    </row>
    <row r="740" spans="1:1" ht="12.75" customHeight="1" x14ac:dyDescent="0.15">
      <c r="A740" s="1"/>
    </row>
    <row r="741" spans="1:1" ht="12.75" customHeight="1" x14ac:dyDescent="0.15">
      <c r="A741" s="1"/>
    </row>
    <row r="742" spans="1:1" ht="12.75" customHeight="1" x14ac:dyDescent="0.15">
      <c r="A742" s="1"/>
    </row>
    <row r="743" spans="1:1" ht="12.75" customHeight="1" x14ac:dyDescent="0.15">
      <c r="A743" s="1"/>
    </row>
    <row r="744" spans="1:1" ht="12.75" customHeight="1" x14ac:dyDescent="0.15">
      <c r="A744" s="1"/>
    </row>
    <row r="745" spans="1:1" ht="12.75" customHeight="1" x14ac:dyDescent="0.15">
      <c r="A745" s="1"/>
    </row>
    <row r="746" spans="1:1" ht="12.75" customHeight="1" x14ac:dyDescent="0.15">
      <c r="A746" s="1"/>
    </row>
    <row r="747" spans="1:1" ht="12.75" customHeight="1" x14ac:dyDescent="0.15">
      <c r="A747" s="1"/>
    </row>
    <row r="748" spans="1:1" ht="12.75" customHeight="1" x14ac:dyDescent="0.15">
      <c r="A748" s="1"/>
    </row>
    <row r="749" spans="1:1" ht="12.75" customHeight="1" x14ac:dyDescent="0.15">
      <c r="A749" s="1"/>
    </row>
    <row r="750" spans="1:1" ht="12.75" customHeight="1" x14ac:dyDescent="0.15">
      <c r="A750" s="1"/>
    </row>
    <row r="751" spans="1:1" ht="12.75" customHeight="1" x14ac:dyDescent="0.15">
      <c r="A751" s="1"/>
    </row>
    <row r="752" spans="1:1" ht="12.75" customHeight="1" x14ac:dyDescent="0.15">
      <c r="A752" s="1"/>
    </row>
    <row r="753" spans="1:1" ht="12.75" customHeight="1" x14ac:dyDescent="0.15">
      <c r="A753" s="1"/>
    </row>
    <row r="754" spans="1:1" ht="12.75" customHeight="1" x14ac:dyDescent="0.15">
      <c r="A754" s="1"/>
    </row>
    <row r="755" spans="1:1" ht="12.75" customHeight="1" x14ac:dyDescent="0.15">
      <c r="A755" s="1"/>
    </row>
    <row r="756" spans="1:1" ht="12.75" customHeight="1" x14ac:dyDescent="0.15">
      <c r="A756" s="1"/>
    </row>
    <row r="757" spans="1:1" ht="12.75" customHeight="1" x14ac:dyDescent="0.15">
      <c r="A757" s="1"/>
    </row>
    <row r="758" spans="1:1" ht="12.75" customHeight="1" x14ac:dyDescent="0.15">
      <c r="A758" s="1"/>
    </row>
    <row r="759" spans="1:1" ht="12.75" customHeight="1" x14ac:dyDescent="0.15">
      <c r="A759" s="1"/>
    </row>
    <row r="760" spans="1:1" ht="12.75" customHeight="1" x14ac:dyDescent="0.15">
      <c r="A760" s="1"/>
    </row>
    <row r="761" spans="1:1" ht="12.75" customHeight="1" x14ac:dyDescent="0.15">
      <c r="A761" s="1"/>
    </row>
    <row r="762" spans="1:1" ht="12.75" customHeight="1" x14ac:dyDescent="0.15">
      <c r="A762" s="1"/>
    </row>
    <row r="763" spans="1:1" ht="12.75" customHeight="1" x14ac:dyDescent="0.15">
      <c r="A763" s="1"/>
    </row>
    <row r="764" spans="1:1" ht="12.75" customHeight="1" x14ac:dyDescent="0.15">
      <c r="A764" s="1"/>
    </row>
    <row r="765" spans="1:1" ht="12.75" customHeight="1" x14ac:dyDescent="0.15">
      <c r="A765" s="1"/>
    </row>
    <row r="766" spans="1:1" ht="12.75" customHeight="1" x14ac:dyDescent="0.15">
      <c r="A766" s="1"/>
    </row>
    <row r="767" spans="1:1" ht="12.75" customHeight="1" x14ac:dyDescent="0.15">
      <c r="A767" s="1"/>
    </row>
    <row r="768" spans="1:1" ht="12.75" customHeight="1" x14ac:dyDescent="0.15">
      <c r="A768" s="1"/>
    </row>
    <row r="769" spans="1:1" ht="12.75" customHeight="1" x14ac:dyDescent="0.15">
      <c r="A769" s="1"/>
    </row>
    <row r="770" spans="1:1" ht="12.75" customHeight="1" x14ac:dyDescent="0.15">
      <c r="A770" s="1"/>
    </row>
    <row r="771" spans="1:1" ht="12.75" customHeight="1" x14ac:dyDescent="0.15">
      <c r="A771" s="1"/>
    </row>
    <row r="772" spans="1:1" ht="12.75" customHeight="1" x14ac:dyDescent="0.15">
      <c r="A772" s="1"/>
    </row>
    <row r="773" spans="1:1" ht="12.75" customHeight="1" x14ac:dyDescent="0.15">
      <c r="A773" s="1"/>
    </row>
    <row r="774" spans="1:1" ht="12.75" customHeight="1" x14ac:dyDescent="0.15">
      <c r="A774" s="1"/>
    </row>
    <row r="775" spans="1:1" ht="12.75" customHeight="1" x14ac:dyDescent="0.15">
      <c r="A775" s="1"/>
    </row>
    <row r="776" spans="1:1" ht="12.75" customHeight="1" x14ac:dyDescent="0.15">
      <c r="A776" s="1"/>
    </row>
    <row r="777" spans="1:1" ht="12.75" customHeight="1" x14ac:dyDescent="0.15">
      <c r="A777" s="1"/>
    </row>
    <row r="778" spans="1:1" ht="12.75" customHeight="1" x14ac:dyDescent="0.15">
      <c r="A778" s="1"/>
    </row>
    <row r="779" spans="1:1" ht="12.75" customHeight="1" x14ac:dyDescent="0.15">
      <c r="A779" s="1"/>
    </row>
    <row r="780" spans="1:1" ht="12.75" customHeight="1" x14ac:dyDescent="0.15">
      <c r="A780" s="1"/>
    </row>
    <row r="781" spans="1:1" ht="12.75" customHeight="1" x14ac:dyDescent="0.15">
      <c r="A781" s="1"/>
    </row>
    <row r="782" spans="1:1" ht="12.75" customHeight="1" x14ac:dyDescent="0.15">
      <c r="A782" s="1"/>
    </row>
    <row r="783" spans="1:1" ht="12.75" customHeight="1" x14ac:dyDescent="0.15">
      <c r="A783" s="1"/>
    </row>
    <row r="784" spans="1:1" ht="12.75" customHeight="1" x14ac:dyDescent="0.15">
      <c r="A784" s="1"/>
    </row>
    <row r="785" spans="1:1" ht="12.75" customHeight="1" x14ac:dyDescent="0.15">
      <c r="A785" s="1"/>
    </row>
    <row r="786" spans="1:1" ht="12.75" customHeight="1" x14ac:dyDescent="0.15">
      <c r="A786" s="1"/>
    </row>
    <row r="787" spans="1:1" ht="12.75" customHeight="1" x14ac:dyDescent="0.15">
      <c r="A787" s="1"/>
    </row>
    <row r="788" spans="1:1" ht="12.75" customHeight="1" x14ac:dyDescent="0.15">
      <c r="A788" s="1"/>
    </row>
    <row r="789" spans="1:1" ht="12.75" customHeight="1" x14ac:dyDescent="0.15">
      <c r="A789" s="1"/>
    </row>
    <row r="790" spans="1:1" ht="12.75" customHeight="1" x14ac:dyDescent="0.15">
      <c r="A790" s="1"/>
    </row>
    <row r="791" spans="1:1" ht="12.75" customHeight="1" x14ac:dyDescent="0.15">
      <c r="A791" s="1"/>
    </row>
    <row r="792" spans="1:1" ht="12.75" customHeight="1" x14ac:dyDescent="0.15">
      <c r="A792" s="1"/>
    </row>
    <row r="793" spans="1:1" ht="12.75" customHeight="1" x14ac:dyDescent="0.15">
      <c r="A793" s="1"/>
    </row>
    <row r="794" spans="1:1" ht="12.75" customHeight="1" x14ac:dyDescent="0.15">
      <c r="A794" s="1"/>
    </row>
    <row r="795" spans="1:1" ht="12.75" customHeight="1" x14ac:dyDescent="0.15">
      <c r="A795" s="1"/>
    </row>
    <row r="796" spans="1:1" ht="12.75" customHeight="1" x14ac:dyDescent="0.15">
      <c r="A796" s="1"/>
    </row>
    <row r="797" spans="1:1" ht="12.75" customHeight="1" x14ac:dyDescent="0.15">
      <c r="A797" s="1"/>
    </row>
    <row r="798" spans="1:1" ht="12.75" customHeight="1" x14ac:dyDescent="0.15">
      <c r="A798" s="1"/>
    </row>
    <row r="799" spans="1:1" ht="12.75" customHeight="1" x14ac:dyDescent="0.15">
      <c r="A799" s="1"/>
    </row>
    <row r="800" spans="1:1" ht="12.75" customHeight="1" x14ac:dyDescent="0.15">
      <c r="A800" s="1"/>
    </row>
    <row r="801" spans="1:1" ht="12.75" customHeight="1" x14ac:dyDescent="0.15">
      <c r="A801" s="1"/>
    </row>
    <row r="802" spans="1:1" ht="12.75" customHeight="1" x14ac:dyDescent="0.15">
      <c r="A802" s="1"/>
    </row>
    <row r="803" spans="1:1" ht="12.75" customHeight="1" x14ac:dyDescent="0.15">
      <c r="A803" s="1"/>
    </row>
    <row r="804" spans="1:1" ht="12.75" customHeight="1" x14ac:dyDescent="0.15">
      <c r="A804" s="1"/>
    </row>
    <row r="805" spans="1:1" ht="12.75" customHeight="1" x14ac:dyDescent="0.15">
      <c r="A805" s="1"/>
    </row>
    <row r="806" spans="1:1" ht="12.75" customHeight="1" x14ac:dyDescent="0.15">
      <c r="A806" s="1"/>
    </row>
    <row r="807" spans="1:1" ht="12.75" customHeight="1" x14ac:dyDescent="0.15">
      <c r="A807" s="1"/>
    </row>
    <row r="808" spans="1:1" ht="12.75" customHeight="1" x14ac:dyDescent="0.15">
      <c r="A808" s="1"/>
    </row>
    <row r="809" spans="1:1" ht="12.75" customHeight="1" x14ac:dyDescent="0.15">
      <c r="A809" s="1"/>
    </row>
    <row r="810" spans="1:1" ht="12.75" customHeight="1" x14ac:dyDescent="0.15">
      <c r="A810" s="1"/>
    </row>
    <row r="811" spans="1:1" ht="12.75" customHeight="1" x14ac:dyDescent="0.15">
      <c r="A811" s="1"/>
    </row>
    <row r="812" spans="1:1" ht="12.75" customHeight="1" x14ac:dyDescent="0.15">
      <c r="A812" s="1"/>
    </row>
    <row r="813" spans="1:1" ht="12.75" customHeight="1" x14ac:dyDescent="0.15">
      <c r="A813" s="1"/>
    </row>
    <row r="814" spans="1:1" ht="12.75" customHeight="1" x14ac:dyDescent="0.15">
      <c r="A814" s="1"/>
    </row>
    <row r="815" spans="1:1" ht="12.75" customHeight="1" x14ac:dyDescent="0.15">
      <c r="A815" s="1"/>
    </row>
    <row r="816" spans="1:1" ht="12.75" customHeight="1" x14ac:dyDescent="0.15">
      <c r="A816" s="1"/>
    </row>
    <row r="817" spans="1:1" ht="12.75" customHeight="1" x14ac:dyDescent="0.15">
      <c r="A817" s="1"/>
    </row>
    <row r="818" spans="1:1" ht="12.75" customHeight="1" x14ac:dyDescent="0.15">
      <c r="A818" s="1"/>
    </row>
    <row r="819" spans="1:1" ht="12.75" customHeight="1" x14ac:dyDescent="0.15">
      <c r="A819" s="1"/>
    </row>
    <row r="820" spans="1:1" ht="12.75" customHeight="1" x14ac:dyDescent="0.15">
      <c r="A820" s="1"/>
    </row>
    <row r="821" spans="1:1" ht="12.75" customHeight="1" x14ac:dyDescent="0.15">
      <c r="A821" s="1"/>
    </row>
    <row r="822" spans="1:1" ht="12.75" customHeight="1" x14ac:dyDescent="0.15">
      <c r="A822" s="1"/>
    </row>
    <row r="823" spans="1:1" ht="12.75" customHeight="1" x14ac:dyDescent="0.15">
      <c r="A823" s="1"/>
    </row>
    <row r="824" spans="1:1" ht="12.75" customHeight="1" x14ac:dyDescent="0.15">
      <c r="A824" s="1"/>
    </row>
    <row r="825" spans="1:1" ht="12.75" customHeight="1" x14ac:dyDescent="0.15">
      <c r="A825" s="1"/>
    </row>
    <row r="826" spans="1:1" ht="12.75" customHeight="1" x14ac:dyDescent="0.15">
      <c r="A826" s="1"/>
    </row>
    <row r="827" spans="1:1" ht="12.75" customHeight="1" x14ac:dyDescent="0.15">
      <c r="A827" s="1"/>
    </row>
    <row r="828" spans="1:1" ht="12.75" customHeight="1" x14ac:dyDescent="0.15">
      <c r="A828" s="1"/>
    </row>
    <row r="829" spans="1:1" ht="12.75" customHeight="1" x14ac:dyDescent="0.15">
      <c r="A829" s="1"/>
    </row>
    <row r="830" spans="1:1" ht="12.75" customHeight="1" x14ac:dyDescent="0.15">
      <c r="A830" s="1"/>
    </row>
    <row r="831" spans="1:1" ht="12.75" customHeight="1" x14ac:dyDescent="0.15">
      <c r="A831" s="1"/>
    </row>
    <row r="832" spans="1:1" ht="12.75" customHeight="1" x14ac:dyDescent="0.15">
      <c r="A832" s="1"/>
    </row>
    <row r="833" spans="1:1" ht="12.75" customHeight="1" x14ac:dyDescent="0.15">
      <c r="A833" s="1"/>
    </row>
    <row r="834" spans="1:1" ht="12.75" customHeight="1" x14ac:dyDescent="0.15">
      <c r="A834" s="1"/>
    </row>
    <row r="835" spans="1:1" ht="12.75" customHeight="1" x14ac:dyDescent="0.15">
      <c r="A835" s="1"/>
    </row>
    <row r="836" spans="1:1" ht="12.75" customHeight="1" x14ac:dyDescent="0.15">
      <c r="A836" s="1"/>
    </row>
    <row r="837" spans="1:1" ht="12.75" customHeight="1" x14ac:dyDescent="0.15">
      <c r="A837" s="1"/>
    </row>
    <row r="838" spans="1:1" ht="12.75" customHeight="1" x14ac:dyDescent="0.15">
      <c r="A838" s="1"/>
    </row>
    <row r="839" spans="1:1" ht="12.75" customHeight="1" x14ac:dyDescent="0.15">
      <c r="A839" s="1"/>
    </row>
    <row r="840" spans="1:1" ht="12.75" customHeight="1" x14ac:dyDescent="0.15">
      <c r="A840" s="1"/>
    </row>
    <row r="841" spans="1:1" ht="12.75" customHeight="1" x14ac:dyDescent="0.15">
      <c r="A841" s="1"/>
    </row>
    <row r="842" spans="1:1" ht="12.75" customHeight="1" x14ac:dyDescent="0.15">
      <c r="A842" s="1"/>
    </row>
    <row r="843" spans="1:1" ht="12.75" customHeight="1" x14ac:dyDescent="0.15">
      <c r="A843" s="1"/>
    </row>
    <row r="844" spans="1:1" ht="12.75" customHeight="1" x14ac:dyDescent="0.15">
      <c r="A844" s="1"/>
    </row>
    <row r="845" spans="1:1" ht="12.75" customHeight="1" x14ac:dyDescent="0.15">
      <c r="A845" s="1"/>
    </row>
    <row r="846" spans="1:1" ht="12.75" customHeight="1" x14ac:dyDescent="0.15">
      <c r="A846" s="1"/>
    </row>
    <row r="847" spans="1:1" ht="12.75" customHeight="1" x14ac:dyDescent="0.15">
      <c r="A847" s="1"/>
    </row>
    <row r="848" spans="1:1" ht="12.75" customHeight="1" x14ac:dyDescent="0.15">
      <c r="A848" s="1"/>
    </row>
    <row r="849" spans="1:1" ht="12.75" customHeight="1" x14ac:dyDescent="0.15">
      <c r="A849" s="1"/>
    </row>
    <row r="850" spans="1:1" ht="12.75" customHeight="1" x14ac:dyDescent="0.15">
      <c r="A850" s="1"/>
    </row>
    <row r="851" spans="1:1" ht="12.75" customHeight="1" x14ac:dyDescent="0.15">
      <c r="A851" s="1"/>
    </row>
    <row r="852" spans="1:1" ht="12.75" customHeight="1" x14ac:dyDescent="0.15">
      <c r="A852" s="1"/>
    </row>
    <row r="853" spans="1:1" ht="12.75" customHeight="1" x14ac:dyDescent="0.15">
      <c r="A853" s="1"/>
    </row>
    <row r="854" spans="1:1" ht="12.75" customHeight="1" x14ac:dyDescent="0.15">
      <c r="A854" s="1"/>
    </row>
    <row r="855" spans="1:1" ht="12.75" customHeight="1" x14ac:dyDescent="0.15">
      <c r="A855" s="1"/>
    </row>
    <row r="856" spans="1:1" ht="12.75" customHeight="1" x14ac:dyDescent="0.15">
      <c r="A856" s="1"/>
    </row>
    <row r="857" spans="1:1" ht="12.75" customHeight="1" x14ac:dyDescent="0.15">
      <c r="A857" s="1"/>
    </row>
    <row r="858" spans="1:1" ht="12.75" customHeight="1" x14ac:dyDescent="0.15">
      <c r="A858" s="1"/>
    </row>
    <row r="859" spans="1:1" ht="12.75" customHeight="1" x14ac:dyDescent="0.15">
      <c r="A859" s="1"/>
    </row>
    <row r="860" spans="1:1" ht="12.75" customHeight="1" x14ac:dyDescent="0.15">
      <c r="A860" s="1"/>
    </row>
    <row r="861" spans="1:1" ht="12.75" customHeight="1" x14ac:dyDescent="0.15">
      <c r="A861" s="1"/>
    </row>
    <row r="862" spans="1:1" ht="12.75" customHeight="1" x14ac:dyDescent="0.15">
      <c r="A862" s="1"/>
    </row>
    <row r="863" spans="1:1" ht="12.75" customHeight="1" x14ac:dyDescent="0.15">
      <c r="A863" s="1"/>
    </row>
    <row r="864" spans="1:1" ht="12.75" customHeight="1" x14ac:dyDescent="0.15">
      <c r="A864" s="1"/>
    </row>
    <row r="865" spans="1:1" ht="12.75" customHeight="1" x14ac:dyDescent="0.15">
      <c r="A865" s="1"/>
    </row>
    <row r="866" spans="1:1" ht="12.75" customHeight="1" x14ac:dyDescent="0.15">
      <c r="A866" s="1"/>
    </row>
    <row r="867" spans="1:1" ht="12.75" customHeight="1" x14ac:dyDescent="0.15">
      <c r="A867" s="1"/>
    </row>
    <row r="868" spans="1:1" ht="12.75" customHeight="1" x14ac:dyDescent="0.15">
      <c r="A868" s="1"/>
    </row>
    <row r="869" spans="1:1" ht="12.75" customHeight="1" x14ac:dyDescent="0.15">
      <c r="A869" s="1"/>
    </row>
    <row r="870" spans="1:1" ht="12.75" customHeight="1" x14ac:dyDescent="0.15">
      <c r="A870" s="1"/>
    </row>
    <row r="871" spans="1:1" ht="12.75" customHeight="1" x14ac:dyDescent="0.15">
      <c r="A871" s="1"/>
    </row>
    <row r="872" spans="1:1" ht="12.75" customHeight="1" x14ac:dyDescent="0.15">
      <c r="A872" s="1"/>
    </row>
    <row r="873" spans="1:1" ht="12.75" customHeight="1" x14ac:dyDescent="0.15">
      <c r="A873" s="1"/>
    </row>
    <row r="874" spans="1:1" ht="12.75" customHeight="1" x14ac:dyDescent="0.15">
      <c r="A874" s="1"/>
    </row>
    <row r="875" spans="1:1" ht="12.75" customHeight="1" x14ac:dyDescent="0.15">
      <c r="A875" s="1"/>
    </row>
    <row r="876" spans="1:1" ht="12.75" customHeight="1" x14ac:dyDescent="0.15">
      <c r="A876" s="1"/>
    </row>
    <row r="877" spans="1:1" ht="12.75" customHeight="1" x14ac:dyDescent="0.15">
      <c r="A877" s="1"/>
    </row>
    <row r="878" spans="1:1" ht="12.75" customHeight="1" x14ac:dyDescent="0.15">
      <c r="A878" s="1"/>
    </row>
    <row r="879" spans="1:1" ht="12.75" customHeight="1" x14ac:dyDescent="0.15">
      <c r="A879" s="1"/>
    </row>
    <row r="880" spans="1:1" ht="12.75" customHeight="1" x14ac:dyDescent="0.15">
      <c r="A880" s="1"/>
    </row>
    <row r="881" spans="1:1" ht="12.75" customHeight="1" x14ac:dyDescent="0.15">
      <c r="A881" s="1"/>
    </row>
    <row r="882" spans="1:1" ht="12.75" customHeight="1" x14ac:dyDescent="0.15">
      <c r="A882" s="1"/>
    </row>
    <row r="883" spans="1:1" ht="12.75" customHeight="1" x14ac:dyDescent="0.15">
      <c r="A883" s="1"/>
    </row>
    <row r="884" spans="1:1" ht="12.75" customHeight="1" x14ac:dyDescent="0.15">
      <c r="A884" s="1"/>
    </row>
    <row r="885" spans="1:1" ht="12.75" customHeight="1" x14ac:dyDescent="0.15">
      <c r="A885" s="1"/>
    </row>
    <row r="886" spans="1:1" ht="12.75" customHeight="1" x14ac:dyDescent="0.15">
      <c r="A886" s="1"/>
    </row>
    <row r="887" spans="1:1" ht="12.75" customHeight="1" x14ac:dyDescent="0.15">
      <c r="A887" s="1"/>
    </row>
    <row r="888" spans="1:1" ht="12.75" customHeight="1" x14ac:dyDescent="0.15">
      <c r="A888" s="1"/>
    </row>
    <row r="889" spans="1:1" ht="12.75" customHeight="1" x14ac:dyDescent="0.15">
      <c r="A889" s="1"/>
    </row>
    <row r="890" spans="1:1" ht="12.75" customHeight="1" x14ac:dyDescent="0.15">
      <c r="A890" s="1"/>
    </row>
    <row r="891" spans="1:1" ht="12.75" customHeight="1" x14ac:dyDescent="0.15">
      <c r="A891" s="1"/>
    </row>
    <row r="892" spans="1:1" ht="12.75" customHeight="1" x14ac:dyDescent="0.15">
      <c r="A892" s="1"/>
    </row>
    <row r="893" spans="1:1" ht="12.75" customHeight="1" x14ac:dyDescent="0.15">
      <c r="A893" s="1"/>
    </row>
    <row r="894" spans="1:1" ht="12.75" customHeight="1" x14ac:dyDescent="0.15">
      <c r="A894" s="1"/>
    </row>
    <row r="895" spans="1:1" ht="12.75" customHeight="1" x14ac:dyDescent="0.15">
      <c r="A895" s="1"/>
    </row>
    <row r="896" spans="1:1" ht="12.75" customHeight="1" x14ac:dyDescent="0.15">
      <c r="A896" s="1"/>
    </row>
    <row r="897" spans="1:1" ht="12.75" customHeight="1" x14ac:dyDescent="0.15">
      <c r="A897" s="1"/>
    </row>
    <row r="898" spans="1:1" ht="12.75" customHeight="1" x14ac:dyDescent="0.15">
      <c r="A898" s="1"/>
    </row>
    <row r="899" spans="1:1" ht="12.75" customHeight="1" x14ac:dyDescent="0.15">
      <c r="A899" s="1"/>
    </row>
    <row r="900" spans="1:1" ht="12.75" customHeight="1" x14ac:dyDescent="0.15">
      <c r="A900" s="1"/>
    </row>
    <row r="901" spans="1:1" ht="12.75" customHeight="1" x14ac:dyDescent="0.15">
      <c r="A901" s="1"/>
    </row>
    <row r="902" spans="1:1" ht="12.75" customHeight="1" x14ac:dyDescent="0.15">
      <c r="A902" s="1"/>
    </row>
    <row r="903" spans="1:1" ht="12.75" customHeight="1" x14ac:dyDescent="0.15">
      <c r="A903" s="1"/>
    </row>
    <row r="904" spans="1:1" ht="12.75" customHeight="1" x14ac:dyDescent="0.15">
      <c r="A904" s="1"/>
    </row>
    <row r="905" spans="1:1" ht="12.75" customHeight="1" x14ac:dyDescent="0.15">
      <c r="A905" s="1"/>
    </row>
    <row r="906" spans="1:1" ht="12.75" customHeight="1" x14ac:dyDescent="0.15">
      <c r="A906" s="1"/>
    </row>
    <row r="907" spans="1:1" ht="12.75" customHeight="1" x14ac:dyDescent="0.15">
      <c r="A907" s="1"/>
    </row>
    <row r="908" spans="1:1" ht="12.75" customHeight="1" x14ac:dyDescent="0.15">
      <c r="A908" s="1"/>
    </row>
    <row r="909" spans="1:1" ht="12.75" customHeight="1" x14ac:dyDescent="0.15">
      <c r="A909" s="1"/>
    </row>
    <row r="910" spans="1:1" ht="12.75" customHeight="1" x14ac:dyDescent="0.15">
      <c r="A910" s="1"/>
    </row>
    <row r="911" spans="1:1" ht="12.75" customHeight="1" x14ac:dyDescent="0.15">
      <c r="A911" s="1"/>
    </row>
    <row r="912" spans="1:1" ht="12.75" customHeight="1" x14ac:dyDescent="0.15">
      <c r="A912" s="1"/>
    </row>
    <row r="913" spans="1:1" ht="12.75" customHeight="1" x14ac:dyDescent="0.15">
      <c r="A913" s="1"/>
    </row>
    <row r="914" spans="1:1" ht="12.75" customHeight="1" x14ac:dyDescent="0.15">
      <c r="A914" s="1"/>
    </row>
    <row r="915" spans="1:1" ht="12.75" customHeight="1" x14ac:dyDescent="0.15">
      <c r="A915" s="1"/>
    </row>
    <row r="916" spans="1:1" ht="12.75" customHeight="1" x14ac:dyDescent="0.15">
      <c r="A916" s="1"/>
    </row>
    <row r="917" spans="1:1" ht="12.75" customHeight="1" x14ac:dyDescent="0.15">
      <c r="A917" s="1"/>
    </row>
    <row r="918" spans="1:1" ht="12.75" customHeight="1" x14ac:dyDescent="0.15">
      <c r="A918" s="1"/>
    </row>
    <row r="919" spans="1:1" ht="12.75" customHeight="1" x14ac:dyDescent="0.15">
      <c r="A919" s="1"/>
    </row>
    <row r="920" spans="1:1" ht="12.75" customHeight="1" x14ac:dyDescent="0.15">
      <c r="A920" s="1"/>
    </row>
    <row r="921" spans="1:1" ht="12.75" customHeight="1" x14ac:dyDescent="0.15">
      <c r="A921" s="1"/>
    </row>
    <row r="922" spans="1:1" ht="12.75" customHeight="1" x14ac:dyDescent="0.15">
      <c r="A922" s="1"/>
    </row>
    <row r="923" spans="1:1" ht="12.75" customHeight="1" x14ac:dyDescent="0.15">
      <c r="A923" s="1"/>
    </row>
    <row r="924" spans="1:1" ht="12.75" customHeight="1" x14ac:dyDescent="0.15">
      <c r="A924" s="1"/>
    </row>
    <row r="925" spans="1:1" ht="12.75" customHeight="1" x14ac:dyDescent="0.15">
      <c r="A925" s="1"/>
    </row>
    <row r="926" spans="1:1" ht="12.75" customHeight="1" x14ac:dyDescent="0.15">
      <c r="A926" s="1"/>
    </row>
    <row r="927" spans="1:1" ht="12.75" customHeight="1" x14ac:dyDescent="0.15">
      <c r="A927" s="1"/>
    </row>
    <row r="928" spans="1:1" ht="12.75" customHeight="1" x14ac:dyDescent="0.15">
      <c r="A928" s="1"/>
    </row>
    <row r="929" spans="1:1" ht="12.75" customHeight="1" x14ac:dyDescent="0.15">
      <c r="A929" s="1"/>
    </row>
    <row r="930" spans="1:1" ht="12.75" customHeight="1" x14ac:dyDescent="0.15">
      <c r="A930" s="1"/>
    </row>
    <row r="931" spans="1:1" ht="12.75" customHeight="1" x14ac:dyDescent="0.15">
      <c r="A931" s="1"/>
    </row>
    <row r="932" spans="1:1" ht="12.75" customHeight="1" x14ac:dyDescent="0.15">
      <c r="A932" s="1"/>
    </row>
    <row r="933" spans="1:1" ht="12.75" customHeight="1" x14ac:dyDescent="0.15">
      <c r="A933" s="1"/>
    </row>
    <row r="934" spans="1:1" ht="12.75" customHeight="1" x14ac:dyDescent="0.15">
      <c r="A934" s="1"/>
    </row>
    <row r="935" spans="1:1" ht="12.75" customHeight="1" x14ac:dyDescent="0.15">
      <c r="A935" s="1"/>
    </row>
    <row r="936" spans="1:1" ht="12.75" customHeight="1" x14ac:dyDescent="0.15">
      <c r="A936" s="1"/>
    </row>
    <row r="937" spans="1:1" ht="12.75" customHeight="1" x14ac:dyDescent="0.15">
      <c r="A937" s="1"/>
    </row>
    <row r="938" spans="1:1" ht="12.75" customHeight="1" x14ac:dyDescent="0.15">
      <c r="A938" s="1"/>
    </row>
    <row r="939" spans="1:1" ht="12.75" customHeight="1" x14ac:dyDescent="0.15">
      <c r="A939" s="1"/>
    </row>
    <row r="940" spans="1:1" ht="12.75" customHeight="1" x14ac:dyDescent="0.15">
      <c r="A940" s="1"/>
    </row>
    <row r="941" spans="1:1" ht="12.75" customHeight="1" x14ac:dyDescent="0.15">
      <c r="A941" s="1"/>
    </row>
    <row r="942" spans="1:1" ht="12.75" customHeight="1" x14ac:dyDescent="0.15">
      <c r="A942" s="1"/>
    </row>
    <row r="943" spans="1:1" ht="12.75" customHeight="1" x14ac:dyDescent="0.15">
      <c r="A943" s="1"/>
    </row>
    <row r="944" spans="1:1" ht="12.75" customHeight="1" x14ac:dyDescent="0.15">
      <c r="A944" s="1"/>
    </row>
    <row r="945" spans="1:1" ht="12.75" customHeight="1" x14ac:dyDescent="0.15">
      <c r="A945" s="1"/>
    </row>
    <row r="946" spans="1:1" ht="12.75" customHeight="1" x14ac:dyDescent="0.15">
      <c r="A946" s="1"/>
    </row>
    <row r="947" spans="1:1" ht="12.75" customHeight="1" x14ac:dyDescent="0.15">
      <c r="A947" s="1"/>
    </row>
    <row r="948" spans="1:1" ht="12.75" customHeight="1" x14ac:dyDescent="0.15">
      <c r="A948" s="1"/>
    </row>
    <row r="949" spans="1:1" ht="12.75" customHeight="1" x14ac:dyDescent="0.15">
      <c r="A949" s="1"/>
    </row>
    <row r="950" spans="1:1" ht="12.75" customHeight="1" x14ac:dyDescent="0.15">
      <c r="A950" s="1"/>
    </row>
    <row r="951" spans="1:1" ht="12.75" customHeight="1" x14ac:dyDescent="0.15">
      <c r="A951" s="1"/>
    </row>
    <row r="952" spans="1:1" ht="12.75" customHeight="1" x14ac:dyDescent="0.15">
      <c r="A952" s="1"/>
    </row>
    <row r="953" spans="1:1" ht="12.75" customHeight="1" x14ac:dyDescent="0.15">
      <c r="A953" s="1"/>
    </row>
    <row r="954" spans="1:1" ht="12.75" customHeight="1" x14ac:dyDescent="0.15">
      <c r="A954" s="1"/>
    </row>
    <row r="955" spans="1:1" ht="12.75" customHeight="1" x14ac:dyDescent="0.15">
      <c r="A955" s="1"/>
    </row>
    <row r="956" spans="1:1" ht="12.75" customHeight="1" x14ac:dyDescent="0.15">
      <c r="A956" s="1"/>
    </row>
    <row r="957" spans="1:1" ht="12.75" customHeight="1" x14ac:dyDescent="0.15">
      <c r="A957" s="1"/>
    </row>
    <row r="958" spans="1:1" ht="12.75" customHeight="1" x14ac:dyDescent="0.15">
      <c r="A958" s="1"/>
    </row>
    <row r="959" spans="1:1" ht="12.75" customHeight="1" x14ac:dyDescent="0.15">
      <c r="A959" s="1"/>
    </row>
    <row r="960" spans="1:1" ht="12.75" customHeight="1" x14ac:dyDescent="0.15">
      <c r="A960" s="1"/>
    </row>
    <row r="961" spans="1:1" ht="12.75" customHeight="1" x14ac:dyDescent="0.15">
      <c r="A961" s="1"/>
    </row>
    <row r="962" spans="1:1" ht="12.75" customHeight="1" x14ac:dyDescent="0.15">
      <c r="A962" s="1"/>
    </row>
    <row r="963" spans="1:1" ht="12.75" customHeight="1" x14ac:dyDescent="0.15">
      <c r="A963" s="1"/>
    </row>
    <row r="964" spans="1:1" ht="12.75" customHeight="1" x14ac:dyDescent="0.15">
      <c r="A964" s="1"/>
    </row>
    <row r="965" spans="1:1" ht="12.75" customHeight="1" x14ac:dyDescent="0.15">
      <c r="A965" s="1"/>
    </row>
    <row r="966" spans="1:1" ht="12.75" customHeight="1" x14ac:dyDescent="0.15">
      <c r="A966" s="1"/>
    </row>
    <row r="967" spans="1:1" ht="12.75" customHeight="1" x14ac:dyDescent="0.15">
      <c r="A967" s="1"/>
    </row>
    <row r="968" spans="1:1" ht="12.75" customHeight="1" x14ac:dyDescent="0.15">
      <c r="A968" s="1"/>
    </row>
    <row r="969" spans="1:1" ht="12.75" customHeight="1" x14ac:dyDescent="0.15">
      <c r="A969" s="1"/>
    </row>
    <row r="970" spans="1:1" ht="12.75" customHeight="1" x14ac:dyDescent="0.15">
      <c r="A970" s="1"/>
    </row>
    <row r="971" spans="1:1" ht="12.75" customHeight="1" x14ac:dyDescent="0.15">
      <c r="A971" s="1"/>
    </row>
    <row r="972" spans="1:1" ht="12.75" customHeight="1" x14ac:dyDescent="0.15">
      <c r="A972" s="1"/>
    </row>
    <row r="973" spans="1:1" ht="12.75" customHeight="1" x14ac:dyDescent="0.15">
      <c r="A973" s="1"/>
    </row>
    <row r="974" spans="1:1" ht="12.75" customHeight="1" x14ac:dyDescent="0.15">
      <c r="A974" s="1"/>
    </row>
    <row r="975" spans="1:1" ht="12.75" customHeight="1" x14ac:dyDescent="0.15">
      <c r="A975" s="1"/>
    </row>
    <row r="976" spans="1:1" ht="12.75" customHeight="1" x14ac:dyDescent="0.15">
      <c r="A976" s="1"/>
    </row>
    <row r="977" spans="1:1" ht="12.75" customHeight="1" x14ac:dyDescent="0.15">
      <c r="A977" s="1"/>
    </row>
    <row r="978" spans="1:1" ht="12.75" customHeight="1" x14ac:dyDescent="0.15">
      <c r="A978" s="1"/>
    </row>
    <row r="979" spans="1:1" ht="12.75" customHeight="1" x14ac:dyDescent="0.15">
      <c r="A979" s="1"/>
    </row>
    <row r="980" spans="1:1" ht="12.75" customHeight="1" x14ac:dyDescent="0.15">
      <c r="A980" s="1"/>
    </row>
    <row r="981" spans="1:1" ht="12.75" customHeight="1" x14ac:dyDescent="0.15">
      <c r="A981" s="1"/>
    </row>
    <row r="982" spans="1:1" ht="12.75" customHeight="1" x14ac:dyDescent="0.15">
      <c r="A982" s="1"/>
    </row>
    <row r="983" spans="1:1" ht="12.75" customHeight="1" x14ac:dyDescent="0.15">
      <c r="A983" s="1"/>
    </row>
    <row r="984" spans="1:1" ht="12.75" customHeight="1" x14ac:dyDescent="0.15">
      <c r="A984" s="1"/>
    </row>
    <row r="985" spans="1:1" ht="12.75" customHeight="1" x14ac:dyDescent="0.15">
      <c r="A985" s="1"/>
    </row>
    <row r="986" spans="1:1" ht="12.75" customHeight="1" x14ac:dyDescent="0.15">
      <c r="A986" s="1"/>
    </row>
    <row r="987" spans="1:1" ht="12.75" customHeight="1" x14ac:dyDescent="0.15">
      <c r="A987" s="1"/>
    </row>
    <row r="988" spans="1:1" ht="12.75" customHeight="1" x14ac:dyDescent="0.15">
      <c r="A988" s="1"/>
    </row>
    <row r="989" spans="1:1" ht="12.75" customHeight="1" x14ac:dyDescent="0.15">
      <c r="A989" s="1"/>
    </row>
    <row r="990" spans="1:1" ht="12.75" customHeight="1" x14ac:dyDescent="0.15">
      <c r="A990" s="1"/>
    </row>
    <row r="991" spans="1:1" ht="12.75" customHeight="1" x14ac:dyDescent="0.15">
      <c r="A991" s="1"/>
    </row>
    <row r="992" spans="1:1" ht="12.75" customHeight="1" x14ac:dyDescent="0.15">
      <c r="A992" s="1"/>
    </row>
    <row r="993" spans="1:1" ht="12.75" customHeight="1" x14ac:dyDescent="0.15">
      <c r="A993" s="1"/>
    </row>
    <row r="994" spans="1:1" ht="12.75" customHeight="1" x14ac:dyDescent="0.15">
      <c r="A994" s="1"/>
    </row>
    <row r="995" spans="1:1" ht="12.75" customHeight="1" x14ac:dyDescent="0.15">
      <c r="A995" s="1"/>
    </row>
    <row r="996" spans="1:1" ht="12.75" customHeight="1" x14ac:dyDescent="0.15">
      <c r="A996" s="1"/>
    </row>
    <row r="997" spans="1:1" ht="12.75" customHeight="1" x14ac:dyDescent="0.15">
      <c r="A997" s="1"/>
    </row>
    <row r="998" spans="1:1" ht="12.75" customHeight="1" x14ac:dyDescent="0.15">
      <c r="A998" s="1"/>
    </row>
    <row r="999" spans="1:1" ht="12.75" customHeight="1" x14ac:dyDescent="0.15">
      <c r="A999" s="1"/>
    </row>
    <row r="1000" spans="1:1" ht="12.75" customHeight="1" x14ac:dyDescent="0.15">
      <c r="A1000" s="1"/>
    </row>
  </sheetData>
  <sheetCalcPr fullCalcOnLoad="1"/>
  <mergeCells count="1">
    <mergeCell ref="E1:H1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Theaker</dc:creator>
  <cp:lastModifiedBy>Hammond, Sean</cp:lastModifiedBy>
  <dcterms:created xsi:type="dcterms:W3CDTF">2021-06-05T18:54:35Z</dcterms:created>
  <dcterms:modified xsi:type="dcterms:W3CDTF">2026-07-16T03:29:28Z</dcterms:modified>
</cp:coreProperties>
</file>